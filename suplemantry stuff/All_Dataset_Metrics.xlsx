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eek\Downloads\"/>
    </mc:Choice>
  </mc:AlternateContent>
  <xr:revisionPtr revIDLastSave="0" documentId="13_ncr:1_{30EA9EB7-89BA-4616-9BBE-212E89AE8125}" xr6:coauthVersionLast="47" xr6:coauthVersionMax="47" xr10:uidLastSave="{00000000-0000-0000-0000-000000000000}"/>
  <bookViews>
    <workbookView xWindow="-80" yWindow="-80" windowWidth="25760" windowHeight="15440" activeTab="4" xr2:uid="{00000000-000D-0000-FFFF-FFFF00000000}"/>
  </bookViews>
  <sheets>
    <sheet name="All Metrics" sheetId="1" r:id="rId1"/>
    <sheet name="Cross-domain" sheetId="5" r:id="rId2"/>
    <sheet name="in domain" sheetId="4" r:id="rId3"/>
    <sheet name="all updated indomain" sheetId="7" r:id="rId4"/>
    <sheet name="recomandation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8" l="1"/>
  <c r="U10" i="8"/>
  <c r="U14" i="8"/>
  <c r="U18" i="8"/>
  <c r="U22" i="8"/>
  <c r="U26" i="8"/>
  <c r="U30" i="8"/>
  <c r="U34" i="8"/>
  <c r="U38" i="8"/>
  <c r="U42" i="8"/>
  <c r="U2" i="8"/>
  <c r="T5" i="8"/>
  <c r="T3" i="8"/>
  <c r="T4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2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2" i="8"/>
  <c r="N42" i="8"/>
  <c r="M42" i="8"/>
  <c r="L42" i="8"/>
  <c r="K42" i="8"/>
  <c r="J42" i="8"/>
  <c r="N38" i="8"/>
  <c r="M38" i="8"/>
  <c r="L38" i="8"/>
  <c r="K38" i="8"/>
  <c r="J38" i="8"/>
  <c r="N34" i="8"/>
  <c r="M34" i="8"/>
  <c r="L34" i="8"/>
  <c r="K34" i="8"/>
  <c r="J34" i="8"/>
  <c r="N30" i="8"/>
  <c r="M30" i="8"/>
  <c r="L30" i="8"/>
  <c r="K30" i="8"/>
  <c r="J30" i="8"/>
  <c r="N26" i="8"/>
  <c r="M26" i="8"/>
  <c r="L26" i="8"/>
  <c r="K26" i="8"/>
  <c r="J26" i="8"/>
  <c r="N22" i="8"/>
  <c r="M22" i="8"/>
  <c r="L22" i="8"/>
  <c r="K22" i="8"/>
  <c r="J22" i="8"/>
  <c r="N18" i="8"/>
  <c r="M18" i="8"/>
  <c r="L18" i="8"/>
  <c r="K18" i="8"/>
  <c r="J18" i="8"/>
  <c r="N14" i="8"/>
  <c r="M14" i="8"/>
  <c r="L14" i="8"/>
  <c r="K14" i="8"/>
  <c r="N10" i="8"/>
  <c r="M10" i="8"/>
  <c r="L10" i="8"/>
  <c r="K10" i="8"/>
  <c r="J14" i="8"/>
  <c r="J10" i="8"/>
  <c r="N6" i="8"/>
  <c r="M6" i="8"/>
  <c r="L6" i="8"/>
  <c r="K6" i="8"/>
  <c r="J6" i="8"/>
  <c r="L2" i="8"/>
  <c r="M2" i="8"/>
  <c r="N2" i="8"/>
  <c r="K2" i="8"/>
  <c r="J2" i="8"/>
  <c r="G13" i="5"/>
  <c r="G12" i="5"/>
  <c r="G11" i="5"/>
  <c r="G10" i="5"/>
  <c r="G9" i="5"/>
  <c r="G8" i="5"/>
  <c r="G7" i="5"/>
  <c r="G6" i="5"/>
  <c r="G5" i="5"/>
  <c r="G4" i="5"/>
  <c r="G3" i="5"/>
  <c r="G2" i="5"/>
  <c r="G16" i="1"/>
  <c r="G15" i="1"/>
  <c r="G14" i="1"/>
  <c r="G13" i="1"/>
  <c r="G11" i="1"/>
  <c r="G10" i="1"/>
  <c r="G9" i="1"/>
  <c r="G8" i="1"/>
  <c r="G6" i="1"/>
  <c r="G5" i="1"/>
  <c r="G4" i="1"/>
  <c r="G3" i="1"/>
</calcChain>
</file>

<file path=xl/sharedStrings.xml><?xml version="1.0" encoding="utf-8"?>
<sst xmlns="http://schemas.openxmlformats.org/spreadsheetml/2006/main" count="1016" uniqueCount="101">
  <si>
    <t>Training Dataset</t>
  </si>
  <si>
    <t>Test Dataset</t>
  </si>
  <si>
    <t>Accuracy</t>
  </si>
  <si>
    <t>Precision</t>
  </si>
  <si>
    <t>Recall</t>
  </si>
  <si>
    <t>F1-score</t>
  </si>
  <si>
    <t>ROC-AUC</t>
  </si>
  <si>
    <t>PR-AUC</t>
  </si>
  <si>
    <t>EER</t>
  </si>
  <si>
    <t>WildDeepfake</t>
  </si>
  <si>
    <t>Celeb-DF(V2)</t>
  </si>
  <si>
    <t>DFC</t>
  </si>
  <si>
    <t>FF++</t>
  </si>
  <si>
    <t>Model</t>
    <phoneticPr fontId="2" type="noConversion"/>
  </si>
  <si>
    <t>Xception</t>
    <phoneticPr fontId="2" type="noConversion"/>
  </si>
  <si>
    <t>0.753661*</t>
  </si>
  <si>
    <t>—</t>
  </si>
  <si>
    <t>0.283076*</t>
  </si>
  <si>
    <t>0.381596*</t>
  </si>
  <si>
    <t>0.648984*</t>
  </si>
  <si>
    <t>0.649270*</t>
  </si>
  <si>
    <t>0.669178*</t>
  </si>
  <si>
    <t>0.309009*</t>
  </si>
  <si>
    <t>0.780150*</t>
  </si>
  <si>
    <t>0.527992*</t>
  </si>
  <si>
    <t>0.211309*</t>
  </si>
  <si>
    <t>0.341132*</t>
  </si>
  <si>
    <t>0.250779*</t>
  </si>
  <si>
    <t>ResNet-50</t>
    <phoneticPr fontId="2" type="noConversion"/>
  </si>
  <si>
    <t>Dataset</t>
  </si>
  <si>
    <t>0.740162*</t>
  </si>
  <si>
    <t>0.474814*</t>
  </si>
  <si>
    <t>0.309158*</t>
  </si>
  <si>
    <t>0.857143*</t>
  </si>
  <si>
    <t>0.666667*</t>
  </si>
  <si>
    <t>0.588169*</t>
  </si>
  <si>
    <t>0.354869*</t>
  </si>
  <si>
    <t>0.934578*</t>
  </si>
  <si>
    <t>0.571070*</t>
  </si>
  <si>
    <t>0.354812*</t>
  </si>
  <si>
    <t>0.403597*</t>
  </si>
  <si>
    <t>0.554164*</t>
  </si>
  <si>
    <t>InceptionV3</t>
    <phoneticPr fontId="2" type="noConversion"/>
  </si>
  <si>
    <t>Meso</t>
    <phoneticPr fontId="2" type="noConversion"/>
  </si>
  <si>
    <t>EfficienNetB0</t>
    <phoneticPr fontId="2" type="noConversion"/>
  </si>
  <si>
    <t>Vit16</t>
    <phoneticPr fontId="2" type="noConversion"/>
  </si>
  <si>
    <t>Vit32</t>
    <phoneticPr fontId="2" type="noConversion"/>
  </si>
  <si>
    <t>CrossViT</t>
    <phoneticPr fontId="2" type="noConversion"/>
  </si>
  <si>
    <t>SwinV2</t>
    <phoneticPr fontId="2" type="noConversion"/>
  </si>
  <si>
    <t>MaxViT</t>
    <phoneticPr fontId="2" type="noConversion"/>
  </si>
  <si>
    <t>DinoV2</t>
    <phoneticPr fontId="2" type="noConversion"/>
  </si>
  <si>
    <t> 0.870123</t>
  </si>
  <si>
    <t> 0.870144</t>
  </si>
  <si>
    <t> 0.870145</t>
  </si>
  <si>
    <t> 0.740323</t>
  </si>
  <si>
    <t> 0.870112</t>
  </si>
  <si>
    <t> 0.194823</t>
  </si>
  <si>
    <t>Celeb-DF(V2)</t>
    <phoneticPr fontId="2" type="noConversion"/>
  </si>
  <si>
    <t>WildDeepfake</t>
    <phoneticPr fontId="2" type="noConversion"/>
  </si>
  <si>
    <t>ResNet-50</t>
  </si>
  <si>
    <t>ViT16</t>
    <phoneticPr fontId="2" type="noConversion"/>
  </si>
  <si>
    <t>ViT32</t>
    <phoneticPr fontId="2" type="noConversion"/>
  </si>
  <si>
    <t>CrossViT</t>
  </si>
  <si>
    <t>MaxViT</t>
  </si>
  <si>
    <t>avg eer</t>
    <phoneticPr fontId="2" type="noConversion"/>
  </si>
  <si>
    <t>Model</t>
  </si>
  <si>
    <t>XceptionNet</t>
  </si>
  <si>
    <t>MesoNet</t>
  </si>
  <si>
    <t>Inception-v3</t>
  </si>
  <si>
    <t>EfficientNetV2-B0</t>
  </si>
  <si>
    <t>ViT-16</t>
  </si>
  <si>
    <t>ViT-32</t>
  </si>
  <si>
    <t>Swin V2</t>
  </si>
  <si>
    <t>DINOv2</t>
  </si>
  <si>
    <t>avg acc</t>
    <phoneticPr fontId="2" type="noConversion"/>
  </si>
  <si>
    <t>avg f1</t>
    <phoneticPr fontId="2" type="noConversion"/>
  </si>
  <si>
    <t>avg roc</t>
    <phoneticPr fontId="2" type="noConversion"/>
  </si>
  <si>
    <t>avgpr</t>
    <phoneticPr fontId="2" type="noConversion"/>
  </si>
  <si>
    <t>MesoNet</t>
    <phoneticPr fontId="2" type="noConversion"/>
  </si>
  <si>
    <t>N(x)=xmax​−xmin​x−xmin​​×100</t>
  </si>
  <si>
    <t>Norm Accuracy</t>
  </si>
  <si>
    <t>Norm F1</t>
  </si>
  <si>
    <t>Norm ROC-AUC</t>
  </si>
  <si>
    <t>Norm PR-AUC</t>
    <phoneticPr fontId="2" type="noConversion"/>
  </si>
  <si>
    <t>Norm EER</t>
  </si>
  <si>
    <t>Dataset Performance Score</t>
  </si>
  <si>
    <t>Composite Performance Score</t>
  </si>
  <si>
    <t>avg = NAcc​,NF1​,NROC​,NPR​,NEER​</t>
    <phoneticPr fontId="2" type="noConversion"/>
  </si>
  <si>
    <t>CPSXception​=(PSDFC​+PSCeleb​+PSFF++​+PSWild​​)/4</t>
    <phoneticPr fontId="2" type="noConversion"/>
  </si>
  <si>
    <t>Grade</t>
  </si>
  <si>
    <t>Composite Score</t>
  </si>
  <si>
    <t>Excellent</t>
  </si>
  <si>
    <t>(\geq90)</t>
  </si>
  <si>
    <t>Good</t>
  </si>
  <si>
    <t>(\geq70) and (&lt;90)</t>
  </si>
  <si>
    <t>Fair</t>
  </si>
  <si>
    <t>(\geq50) and (&lt;70)</t>
  </si>
  <si>
    <t>Poor</t>
  </si>
  <si>
    <t>(\geq30) and (&lt;50)</t>
  </si>
  <si>
    <t>Very Poor</t>
  </si>
  <si>
    <t>(&lt;30)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</si>
</sst>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8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sz val="11"/>
      <color theme="1"/>
      <name val="Carlito"/>
    </font>
    <font>
      <b/>
      <sz val="11"/>
      <name val="Carlito"/>
      <family val="2"/>
    </font>
    <font>
      <sz val="10"/>
      <name val="Carlito"/>
    </font>
    <font>
      <sz val="10"/>
      <name val="Carlito"/>
      <family val="2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</cellStyleXfs>
  <cellXfs count="160">
    <xf numFmtId="0" fontId="0" fillId="0" borderId="0" xfId="0"/>
    <xf numFmtId="0" fontId="0" fillId="3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horizontal="center"/>
    </xf>
    <xf numFmtId="0" fontId="0" fillId="3" borderId="8" xfId="0" applyFill="1" applyBorder="1" applyAlignment="1">
      <alignment vertical="center"/>
    </xf>
    <xf numFmtId="176" fontId="0" fillId="3" borderId="8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176" fontId="3" fillId="0" borderId="10" xfId="0" applyNumberFormat="1" applyFont="1" applyBorder="1" applyAlignment="1">
      <alignment horizontal="center"/>
    </xf>
    <xf numFmtId="0" fontId="3" fillId="6" borderId="10" xfId="0" applyFont="1" applyFill="1" applyBorder="1" applyAlignment="1">
      <alignment vertical="center"/>
    </xf>
    <xf numFmtId="176" fontId="3" fillId="6" borderId="10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3" fillId="6" borderId="21" xfId="0" applyFont="1" applyFill="1" applyBorder="1" applyAlignment="1">
      <alignment vertical="center"/>
    </xf>
    <xf numFmtId="176" fontId="3" fillId="6" borderId="21" xfId="0" applyNumberFormat="1" applyFont="1" applyFill="1" applyBorder="1" applyAlignment="1">
      <alignment horizontal="center"/>
    </xf>
    <xf numFmtId="0" fontId="3" fillId="0" borderId="22" xfId="0" applyFont="1" applyBorder="1" applyAlignment="1">
      <alignment vertical="center"/>
    </xf>
    <xf numFmtId="176" fontId="3" fillId="0" borderId="16" xfId="0" applyNumberFormat="1" applyFont="1" applyBorder="1" applyAlignment="1">
      <alignment horizontal="center"/>
    </xf>
    <xf numFmtId="0" fontId="3" fillId="6" borderId="23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6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3" fillId="6" borderId="29" xfId="0" applyFont="1" applyFill="1" applyBorder="1" applyAlignment="1">
      <alignment vertical="center"/>
    </xf>
    <xf numFmtId="176" fontId="3" fillId="6" borderId="19" xfId="0" applyNumberFormat="1" applyFont="1" applyFill="1" applyBorder="1" applyAlignment="1">
      <alignment horizontal="center"/>
    </xf>
    <xf numFmtId="0" fontId="3" fillId="6" borderId="22" xfId="0" applyFont="1" applyFill="1" applyBorder="1" applyAlignment="1">
      <alignment vertical="center"/>
    </xf>
    <xf numFmtId="176" fontId="3" fillId="6" borderId="16" xfId="0" applyNumberFormat="1" applyFont="1" applyFill="1" applyBorder="1" applyAlignment="1">
      <alignment horizontal="center"/>
    </xf>
    <xf numFmtId="0" fontId="3" fillId="0" borderId="29" xfId="0" applyFont="1" applyBorder="1" applyAlignment="1">
      <alignment vertical="center"/>
    </xf>
    <xf numFmtId="176" fontId="3" fillId="0" borderId="19" xfId="0" applyNumberFormat="1" applyFont="1" applyBorder="1" applyAlignment="1">
      <alignment horizontal="center"/>
    </xf>
    <xf numFmtId="0" fontId="3" fillId="0" borderId="33" xfId="0" applyFont="1" applyBorder="1" applyAlignment="1">
      <alignment vertical="center"/>
    </xf>
    <xf numFmtId="176" fontId="3" fillId="0" borderId="34" xfId="0" applyNumberFormat="1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76" fontId="3" fillId="0" borderId="8" xfId="0" applyNumberFormat="1" applyFont="1" applyBorder="1" applyAlignment="1">
      <alignment horizontal="center"/>
    </xf>
    <xf numFmtId="0" fontId="3" fillId="6" borderId="10" xfId="0" applyFont="1" applyFill="1" applyBorder="1"/>
    <xf numFmtId="177" fontId="3" fillId="6" borderId="10" xfId="0" applyNumberFormat="1" applyFont="1" applyFill="1" applyBorder="1"/>
    <xf numFmtId="0" fontId="3" fillId="0" borderId="10" xfId="0" applyFont="1" applyBorder="1"/>
    <xf numFmtId="177" fontId="3" fillId="0" borderId="10" xfId="0" applyNumberFormat="1" applyFont="1" applyBorder="1"/>
    <xf numFmtId="0" fontId="0" fillId="0" borderId="1" xfId="0" applyBorder="1"/>
    <xf numFmtId="0" fontId="3" fillId="6" borderId="34" xfId="0" applyFont="1" applyFill="1" applyBorder="1"/>
    <xf numFmtId="177" fontId="3" fillId="6" borderId="34" xfId="0" applyNumberFormat="1" applyFont="1" applyFill="1" applyBorder="1"/>
    <xf numFmtId="0" fontId="3" fillId="6" borderId="16" xfId="0" applyFont="1" applyFill="1" applyBorder="1"/>
    <xf numFmtId="177" fontId="3" fillId="6" borderId="16" xfId="0" applyNumberFormat="1" applyFont="1" applyFill="1" applyBorder="1"/>
    <xf numFmtId="0" fontId="3" fillId="0" borderId="19" xfId="0" applyFont="1" applyBorder="1"/>
    <xf numFmtId="177" fontId="3" fillId="0" borderId="19" xfId="0" applyNumberFormat="1" applyFont="1" applyBorder="1"/>
    <xf numFmtId="177" fontId="3" fillId="6" borderId="17" xfId="0" applyNumberFormat="1" applyFont="1" applyFill="1" applyBorder="1"/>
    <xf numFmtId="177" fontId="3" fillId="0" borderId="18" xfId="0" applyNumberFormat="1" applyFont="1" applyBorder="1"/>
    <xf numFmtId="177" fontId="3" fillId="6" borderId="18" xfId="0" applyNumberFormat="1" applyFont="1" applyFill="1" applyBorder="1"/>
    <xf numFmtId="177" fontId="3" fillId="0" borderId="20" xfId="0" applyNumberFormat="1" applyFont="1" applyBorder="1"/>
    <xf numFmtId="0" fontId="3" fillId="0" borderId="21" xfId="0" applyFont="1" applyBorder="1"/>
    <xf numFmtId="177" fontId="3" fillId="0" borderId="21" xfId="0" applyNumberFormat="1" applyFont="1" applyBorder="1"/>
    <xf numFmtId="0" fontId="1" fillId="2" borderId="2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6" fontId="0" fillId="4" borderId="6" xfId="0" applyNumberFormat="1" applyFill="1" applyBorder="1" applyAlignment="1">
      <alignment horizontal="center"/>
    </xf>
    <xf numFmtId="176" fontId="0" fillId="3" borderId="6" xfId="0" applyNumberFormat="1" applyFill="1" applyBorder="1" applyAlignment="1">
      <alignment horizontal="center"/>
    </xf>
    <xf numFmtId="176" fontId="3" fillId="4" borderId="18" xfId="0" applyNumberFormat="1" applyFont="1" applyFill="1" applyBorder="1" applyAlignment="1">
      <alignment horizontal="center"/>
    </xf>
    <xf numFmtId="176" fontId="3" fillId="4" borderId="36" xfId="0" applyNumberFormat="1" applyFont="1" applyFill="1" applyBorder="1" applyAlignment="1">
      <alignment horizontal="center"/>
    </xf>
    <xf numFmtId="176" fontId="3" fillId="4" borderId="17" xfId="0" applyNumberFormat="1" applyFont="1" applyFill="1" applyBorder="1" applyAlignment="1">
      <alignment horizontal="center"/>
    </xf>
    <xf numFmtId="176" fontId="3" fillId="4" borderId="35" xfId="0" applyNumberFormat="1" applyFont="1" applyFill="1" applyBorder="1" applyAlignment="1">
      <alignment horizontal="center"/>
    </xf>
    <xf numFmtId="176" fontId="3" fillId="4" borderId="20" xfId="0" applyNumberFormat="1" applyFont="1" applyFill="1" applyBorder="1" applyAlignment="1">
      <alignment horizontal="center"/>
    </xf>
    <xf numFmtId="176" fontId="3" fillId="4" borderId="9" xfId="0" applyNumberFormat="1" applyFont="1" applyFill="1" applyBorder="1" applyAlignment="1">
      <alignment horizontal="center"/>
    </xf>
    <xf numFmtId="177" fontId="3" fillId="0" borderId="36" xfId="0" applyNumberFormat="1" applyFont="1" applyBorder="1"/>
    <xf numFmtId="177" fontId="3" fillId="6" borderId="35" xfId="0" applyNumberFormat="1" applyFont="1" applyFill="1" applyBorder="1"/>
    <xf numFmtId="0" fontId="5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3" borderId="19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vertical="center"/>
    </xf>
    <xf numFmtId="176" fontId="3" fillId="3" borderId="10" xfId="0" applyNumberFormat="1" applyFont="1" applyFill="1" applyBorder="1" applyAlignment="1">
      <alignment horizontal="center"/>
    </xf>
    <xf numFmtId="176" fontId="3" fillId="3" borderId="18" xfId="0" applyNumberFormat="1" applyFont="1" applyFill="1" applyBorder="1" applyAlignment="1">
      <alignment horizontal="center"/>
    </xf>
    <xf numFmtId="0" fontId="3" fillId="7" borderId="37" xfId="0" applyFont="1" applyFill="1" applyBorder="1" applyAlignment="1">
      <alignment vertical="center"/>
    </xf>
    <xf numFmtId="176" fontId="0" fillId="8" borderId="37" xfId="0" applyNumberFormat="1" applyFill="1" applyBorder="1" applyAlignment="1">
      <alignment horizontal="center"/>
    </xf>
    <xf numFmtId="0" fontId="0" fillId="9" borderId="37" xfId="0" applyFill="1" applyBorder="1" applyAlignment="1">
      <alignment vertical="center"/>
    </xf>
    <xf numFmtId="0" fontId="3" fillId="9" borderId="3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vertical="center"/>
    </xf>
    <xf numFmtId="176" fontId="0" fillId="3" borderId="39" xfId="0" applyNumberFormat="1" applyFill="1" applyBorder="1" applyAlignment="1">
      <alignment horizontal="center"/>
    </xf>
    <xf numFmtId="176" fontId="0" fillId="3" borderId="40" xfId="0" applyNumberFormat="1" applyFill="1" applyBorder="1" applyAlignment="1">
      <alignment horizontal="center"/>
    </xf>
    <xf numFmtId="176" fontId="0" fillId="8" borderId="41" xfId="0" applyNumberFormat="1" applyFill="1" applyBorder="1" applyAlignment="1">
      <alignment horizontal="center"/>
    </xf>
    <xf numFmtId="0" fontId="3" fillId="9" borderId="41" xfId="0" applyFont="1" applyFill="1" applyBorder="1" applyAlignment="1">
      <alignment vertical="center"/>
    </xf>
    <xf numFmtId="0" fontId="0" fillId="10" borderId="42" xfId="0" applyFill="1" applyBorder="1" applyAlignment="1">
      <alignment vertical="center"/>
    </xf>
    <xf numFmtId="176" fontId="0" fillId="10" borderId="42" xfId="0" applyNumberFormat="1" applyFill="1" applyBorder="1" applyAlignment="1">
      <alignment horizontal="center"/>
    </xf>
    <xf numFmtId="176" fontId="0" fillId="10" borderId="43" xfId="0" applyNumberFormat="1" applyFill="1" applyBorder="1" applyAlignment="1">
      <alignment horizontal="center"/>
    </xf>
    <xf numFmtId="0" fontId="0" fillId="11" borderId="2" xfId="0" applyFill="1" applyBorder="1" applyAlignment="1">
      <alignment vertical="center"/>
    </xf>
    <xf numFmtId="176" fontId="0" fillId="11" borderId="3" xfId="0" applyNumberFormat="1" applyFill="1" applyBorder="1" applyAlignment="1">
      <alignment horizontal="center"/>
    </xf>
    <xf numFmtId="176" fontId="0" fillId="11" borderId="4" xfId="0" applyNumberFormat="1" applyFill="1" applyBorder="1" applyAlignment="1">
      <alignment horizontal="center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center"/>
    </xf>
    <xf numFmtId="0" fontId="0" fillId="0" borderId="7" xfId="0" applyBorder="1" applyAlignment="1">
      <alignment vertical="center"/>
    </xf>
    <xf numFmtId="176" fontId="0" fillId="0" borderId="8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3" fillId="11" borderId="22" xfId="0" applyFont="1" applyFill="1" applyBorder="1" applyAlignment="1">
      <alignment vertical="center"/>
    </xf>
    <xf numFmtId="176" fontId="3" fillId="11" borderId="16" xfId="0" applyNumberFormat="1" applyFont="1" applyFill="1" applyBorder="1" applyAlignment="1">
      <alignment horizontal="center"/>
    </xf>
    <xf numFmtId="176" fontId="3" fillId="11" borderId="17" xfId="0" applyNumberFormat="1" applyFont="1" applyFill="1" applyBorder="1" applyAlignment="1">
      <alignment horizontal="center"/>
    </xf>
    <xf numFmtId="176" fontId="3" fillId="6" borderId="18" xfId="0" applyNumberFormat="1" applyFont="1" applyFill="1" applyBorder="1" applyAlignment="1">
      <alignment horizontal="center"/>
    </xf>
    <xf numFmtId="176" fontId="3" fillId="0" borderId="20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30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38" xfId="0" applyBorder="1"/>
    <xf numFmtId="0" fontId="4" fillId="0" borderId="0" xfId="0" applyFont="1" applyAlignment="1">
      <alignment horizontal="center" vertical="center" wrapText="1"/>
    </xf>
  </cellXfs>
  <cellStyles count="9">
    <cellStyle name="Normal" xfId="0" builtinId="0"/>
    <cellStyle name="Normal 2" xfId="1" xr:uid="{41D73546-D943-4E19-AE0C-4D5E70ACC2DA}"/>
    <cellStyle name="Normal 3" xfId="2" xr:uid="{97950A1C-2747-4843-BFD6-289D3F6221D2}"/>
    <cellStyle name="Normal 4" xfId="3" xr:uid="{B94E5DC3-A3C5-48A2-8D37-7F33AE3C83F7}"/>
    <cellStyle name="Normal 5" xfId="4" xr:uid="{574EAA35-9850-4467-856B-A5B499964D28}"/>
    <cellStyle name="Normal 6" xfId="5" xr:uid="{D15B8298-14A6-4813-85D1-D4D5B4B8DD1E}"/>
    <cellStyle name="Normal 7" xfId="6" xr:uid="{3CF36531-FA45-4021-A92B-9E239D9C529C}"/>
    <cellStyle name="Normal 8" xfId="7" xr:uid="{60EF1377-9893-4201-A0DB-58B6DB59D994}"/>
    <cellStyle name="Normal 9" xfId="8" xr:uid="{E053495A-4374-4E0C-8A4F-6246BE7E7F77}"/>
  </cellStyles>
  <dxfs count="11"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ceptionMetricsTable" displayName="XceptionMetricsTable" ref="B1:J17">
  <tableColumns count="9">
    <tableColumn id="1" xr3:uid="{00000000-0010-0000-0000-000001000000}" name="Training Dataset" dataDxfId="10"/>
    <tableColumn id="2" xr3:uid="{00000000-0010-0000-0000-000002000000}" name="Test Dataset"/>
    <tableColumn id="3" xr3:uid="{00000000-0010-0000-0000-000003000000}" name="Accuracy"/>
    <tableColumn id="4" xr3:uid="{00000000-0010-0000-0000-000004000000}" name="Precision"/>
    <tableColumn id="5" xr3:uid="{00000000-0010-0000-0000-000005000000}" name="Recall"/>
    <tableColumn id="6" xr3:uid="{00000000-0010-0000-0000-000006000000}" name="F1-score"/>
    <tableColumn id="7" xr3:uid="{00000000-0010-0000-0000-000007000000}" name="ROC-AUC"/>
    <tableColumn id="8" xr3:uid="{00000000-0010-0000-0000-000008000000}" name="PR-AUC"/>
    <tableColumn id="9" xr3:uid="{00000000-0010-0000-0000-000009000000}" name="E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2E41D3-52B8-4D98-87A6-4DAF075EC119}" name="XceptionMetricsTable4" displayName="XceptionMetricsTable4" ref="B1:J13">
  <tableColumns count="9">
    <tableColumn id="1" xr3:uid="{250D863D-BB6D-44F9-B22F-16865F4F8021}" name="Training Dataset" dataDxfId="0"/>
    <tableColumn id="2" xr3:uid="{B1227A26-253F-4810-A62D-EE96231A4EAA}" name="Test Dataset"/>
    <tableColumn id="3" xr3:uid="{54FAA689-A631-4301-AD6E-0E082392870D}" name="Accuracy"/>
    <tableColumn id="4" xr3:uid="{FC70B510-C03B-4E6E-8B6E-C3DB9E1A4EEB}" name="Precision"/>
    <tableColumn id="5" xr3:uid="{1C11491F-49F0-4FBD-87C5-4FC7F37D8C3A}" name="Recall"/>
    <tableColumn id="6" xr3:uid="{6B41088C-F401-43E8-B9E0-7780192A1907}" name="F1-score"/>
    <tableColumn id="7" xr3:uid="{39BA457C-616E-4708-B004-DD7330FD9798}" name="ROC-AUC"/>
    <tableColumn id="8" xr3:uid="{DE6497AD-D30D-4E98-A9AC-3A6E51948FD7}" name="PR-AUC"/>
    <tableColumn id="9" xr3:uid="{5ABFD4A1-B9D5-4A4C-B271-339750381A52}" name="E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63BF4D-DFB8-4022-A268-58BCACA1FC81}" name="XceptionMetricsTable3" displayName="XceptionMetricsTable3" ref="B1:J5">
  <tableColumns count="9">
    <tableColumn id="1" xr3:uid="{E6C53B28-0162-488F-B20A-2558351574F0}" name="Training Dataset" dataDxfId="9"/>
    <tableColumn id="2" xr3:uid="{1F5A6395-56CF-445D-ACCE-CC571C24366F}" name="Test Dataset" dataDxfId="8"/>
    <tableColumn id="3" xr3:uid="{AFF65D58-17A7-48D7-9F0D-DAEA844D143B}" name="Accuracy" dataDxfId="7"/>
    <tableColumn id="4" xr3:uid="{A772A330-C1DC-47A9-9F13-E5DEA9DB2A73}" name="Precision" dataDxfId="6"/>
    <tableColumn id="5" xr3:uid="{307CB66B-7FE7-4C19-95C1-4511D1A1D299}" name="Recall" dataDxfId="5"/>
    <tableColumn id="6" xr3:uid="{77E073CA-F21D-4903-9CEB-39B073DD25B7}" name="F1-score" dataDxfId="4"/>
    <tableColumn id="7" xr3:uid="{083E9764-6D57-4639-A7D8-07CE7B46B4A2}" name="ROC-AUC" dataDxfId="3"/>
    <tableColumn id="8" xr3:uid="{0768532B-B3D0-4082-B28B-96D86FD617F0}" name="PR-AUC" dataDxfId="2"/>
    <tableColumn id="9" xr3:uid="{97F2F32B-2F07-4CF2-B414-AEDFF0D97639}" name="E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zoomScaleNormal="100" workbookViewId="0">
      <pane ySplit="1" topLeftCell="A155" activePane="bottomLeft" state="frozen"/>
      <selection pane="bottomLeft" activeCell="D177" sqref="D177:J177"/>
    </sheetView>
  </sheetViews>
  <sheetFormatPr defaultRowHeight="14"/>
  <cols>
    <col min="2" max="3" width="18" customWidth="1"/>
    <col min="4" max="10" width="12" customWidth="1"/>
  </cols>
  <sheetData>
    <row r="1" spans="1:10" ht="21.4" customHeight="1" thickBot="1">
      <c r="A1" s="57" t="s">
        <v>13</v>
      </c>
      <c r="B1" s="58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9" t="s">
        <v>8</v>
      </c>
    </row>
    <row r="2" spans="1:10">
      <c r="A2" s="85" t="s">
        <v>14</v>
      </c>
      <c r="B2" s="1" t="s">
        <v>9</v>
      </c>
      <c r="C2" s="1" t="s">
        <v>9</v>
      </c>
      <c r="D2" s="5">
        <v>0.749556</v>
      </c>
      <c r="E2" s="5">
        <v>0.750278</v>
      </c>
      <c r="F2" s="5">
        <v>0.99836999999999998</v>
      </c>
      <c r="G2" s="5">
        <v>0.85672499999999996</v>
      </c>
      <c r="H2" s="5">
        <v>0.62529800000000002</v>
      </c>
      <c r="I2" s="5">
        <v>0.80780099999999999</v>
      </c>
      <c r="J2" s="61">
        <v>0.40540700000000002</v>
      </c>
    </row>
    <row r="3" spans="1:10">
      <c r="A3" s="86"/>
      <c r="B3" s="2" t="s">
        <v>9</v>
      </c>
      <c r="C3" s="2" t="s">
        <v>10</v>
      </c>
      <c r="D3" s="3">
        <v>0.79849999999999999</v>
      </c>
      <c r="E3" s="3">
        <v>0.92820000000000003</v>
      </c>
      <c r="F3" s="3">
        <v>0.84230000000000005</v>
      </c>
      <c r="G3" s="3">
        <f>IFERROR(2*E3*F3/(E3+F3),"")</f>
        <v>0.88316617904546746</v>
      </c>
      <c r="H3" s="3">
        <v>0.67200000000000004</v>
      </c>
      <c r="I3" s="3">
        <v>0.94010000000000005</v>
      </c>
      <c r="J3" s="60"/>
    </row>
    <row r="4" spans="1:10">
      <c r="A4" s="86"/>
      <c r="B4" s="2" t="s">
        <v>9</v>
      </c>
      <c r="C4" s="2" t="s">
        <v>11</v>
      </c>
      <c r="D4" s="3">
        <v>0.504</v>
      </c>
      <c r="E4" s="3">
        <v>0.50749999999999995</v>
      </c>
      <c r="F4" s="3">
        <v>0.2707</v>
      </c>
      <c r="G4" s="3">
        <f>IFERROR(2*E4*F4/(E4+F4),"")</f>
        <v>0.35307183243382156</v>
      </c>
      <c r="H4" s="3">
        <v>0.47099999999999997</v>
      </c>
      <c r="I4" s="3">
        <v>0.49690000000000001</v>
      </c>
      <c r="J4" s="60"/>
    </row>
    <row r="5" spans="1:10">
      <c r="A5" s="86"/>
      <c r="B5" s="2" t="s">
        <v>9</v>
      </c>
      <c r="C5" s="2" t="s">
        <v>12</v>
      </c>
      <c r="D5" s="3">
        <v>0.52849999999999997</v>
      </c>
      <c r="E5" s="3">
        <v>0.45369999999999999</v>
      </c>
      <c r="F5" s="3">
        <v>0.64600000000000002</v>
      </c>
      <c r="G5" s="3">
        <f>IFERROR(2*E5*F5/(E5+F5),"")</f>
        <v>0.53303664635809778</v>
      </c>
      <c r="H5" s="3">
        <v>0.57879999999999998</v>
      </c>
      <c r="I5" s="3">
        <v>0.48220000000000002</v>
      </c>
      <c r="J5" s="60"/>
    </row>
    <row r="6" spans="1:10">
      <c r="A6" s="86"/>
      <c r="B6" s="2" t="s">
        <v>10</v>
      </c>
      <c r="C6" s="2" t="s">
        <v>9</v>
      </c>
      <c r="D6" s="3">
        <v>0.39219999999999999</v>
      </c>
      <c r="E6" s="3">
        <v>0.84799999999999998</v>
      </c>
      <c r="F6" s="3">
        <v>0.23100000000000001</v>
      </c>
      <c r="G6" s="3">
        <f>IFERROR(2*E6*F6/(E6+F6),"")</f>
        <v>0.36309175162187213</v>
      </c>
      <c r="H6" s="3">
        <v>0.57709999999999995</v>
      </c>
      <c r="I6" s="3">
        <v>0.81259999999999999</v>
      </c>
      <c r="J6" s="60"/>
    </row>
    <row r="7" spans="1:10">
      <c r="A7" s="86"/>
      <c r="B7" s="4" t="s">
        <v>10</v>
      </c>
      <c r="C7" s="4" t="s">
        <v>10</v>
      </c>
      <c r="D7" s="5">
        <v>0.89783599999999997</v>
      </c>
      <c r="E7" s="5">
        <v>0.92123299999999997</v>
      </c>
      <c r="F7" s="5">
        <v>0.96994400000000003</v>
      </c>
      <c r="G7" s="5">
        <v>0.94496199999999997</v>
      </c>
      <c r="H7" s="5">
        <v>0.79237299999999999</v>
      </c>
      <c r="I7" s="5">
        <v>0.96617399999999998</v>
      </c>
      <c r="J7" s="61">
        <v>0.26839099999999999</v>
      </c>
    </row>
    <row r="8" spans="1:10">
      <c r="A8" s="86"/>
      <c r="B8" s="2" t="s">
        <v>10</v>
      </c>
      <c r="C8" s="2" t="s">
        <v>11</v>
      </c>
      <c r="D8" s="3">
        <v>0.50229999999999997</v>
      </c>
      <c r="E8" s="3">
        <v>0.50160000000000005</v>
      </c>
      <c r="F8" s="3">
        <v>0.72130000000000005</v>
      </c>
      <c r="G8" s="3">
        <f>IFERROR(2*E8*F8/(E8+F8),"")</f>
        <v>0.59171490718783226</v>
      </c>
      <c r="H8" s="3">
        <v>0.49120000000000003</v>
      </c>
      <c r="I8" s="3">
        <v>0.49299999999999999</v>
      </c>
      <c r="J8" s="60"/>
    </row>
    <row r="9" spans="1:10">
      <c r="A9" s="86"/>
      <c r="B9" s="2" t="s">
        <v>10</v>
      </c>
      <c r="C9" s="2" t="s">
        <v>12</v>
      </c>
      <c r="D9" s="3">
        <v>0.66510000000000002</v>
      </c>
      <c r="E9" s="3">
        <v>0.56820000000000004</v>
      </c>
      <c r="F9" s="3">
        <v>0.81669999999999998</v>
      </c>
      <c r="G9" s="3">
        <f>IFERROR(2*E9*F9/(E9+F9),"")</f>
        <v>0.67015515921727198</v>
      </c>
      <c r="H9" s="3">
        <v>0.76370000000000005</v>
      </c>
      <c r="I9" s="3">
        <v>0.66779999999999995</v>
      </c>
      <c r="J9" s="60"/>
    </row>
    <row r="10" spans="1:10">
      <c r="A10" s="86"/>
      <c r="B10" s="2" t="s">
        <v>11</v>
      </c>
      <c r="C10" s="2" t="s">
        <v>9</v>
      </c>
      <c r="D10" s="3">
        <v>0.55989999999999995</v>
      </c>
      <c r="E10" s="3">
        <v>0.79330000000000001</v>
      </c>
      <c r="F10" s="3">
        <v>0.55869999999999997</v>
      </c>
      <c r="G10" s="3">
        <f>IFERROR(2*E10*F10/(E10+F10),"")</f>
        <v>0.65564602071005917</v>
      </c>
      <c r="H10" s="3">
        <v>0.57420000000000004</v>
      </c>
      <c r="I10" s="3">
        <v>0.77929999999999999</v>
      </c>
      <c r="J10" s="60"/>
    </row>
    <row r="11" spans="1:10" ht="14.5" thickBot="1">
      <c r="A11" s="86"/>
      <c r="B11" s="2" t="s">
        <v>11</v>
      </c>
      <c r="C11" s="2" t="s">
        <v>10</v>
      </c>
      <c r="D11" s="3">
        <v>0.75439999999999996</v>
      </c>
      <c r="E11" s="3">
        <v>0.91120000000000001</v>
      </c>
      <c r="F11" s="3">
        <v>0.80710000000000004</v>
      </c>
      <c r="G11" s="3">
        <f>IFERROR(2*E11*F11/(E11+F11),"")</f>
        <v>0.85599664784961882</v>
      </c>
      <c r="H11" s="3">
        <v>0.51929999999999998</v>
      </c>
      <c r="I11" s="3">
        <v>0.90539999999999998</v>
      </c>
      <c r="J11" s="60"/>
    </row>
    <row r="12" spans="1:10">
      <c r="A12" s="86"/>
      <c r="B12" s="4" t="s">
        <v>11</v>
      </c>
      <c r="C12" s="22" t="s">
        <v>11</v>
      </c>
      <c r="D12" s="11">
        <v>0.72866699999999995</v>
      </c>
      <c r="E12" s="11">
        <v>0.656335</v>
      </c>
      <c r="F12" s="11">
        <v>0.96</v>
      </c>
      <c r="G12" s="11">
        <v>0.77964299999999997</v>
      </c>
      <c r="H12" s="11">
        <v>0.897204</v>
      </c>
      <c r="I12" s="11">
        <v>0.89534999999999998</v>
      </c>
      <c r="J12" s="23">
        <v>0.182</v>
      </c>
    </row>
    <row r="13" spans="1:10">
      <c r="A13" s="86"/>
      <c r="B13" s="2" t="s">
        <v>11</v>
      </c>
      <c r="C13" s="2" t="s">
        <v>12</v>
      </c>
      <c r="D13" s="3">
        <v>0.50460000000000005</v>
      </c>
      <c r="E13" s="3">
        <v>0.4264</v>
      </c>
      <c r="F13" s="3">
        <v>0.54800000000000004</v>
      </c>
      <c r="G13" s="3">
        <f>IFERROR(2*E13*F13/(E13+F13),"")</f>
        <v>0.47961247947454844</v>
      </c>
      <c r="H13" s="3">
        <v>0.52429999999999999</v>
      </c>
      <c r="I13" s="3">
        <v>0.43659999999999999</v>
      </c>
      <c r="J13" s="60"/>
    </row>
    <row r="14" spans="1:10">
      <c r="A14" s="86"/>
      <c r="B14" s="2" t="s">
        <v>12</v>
      </c>
      <c r="C14" s="2" t="s">
        <v>9</v>
      </c>
      <c r="D14" s="3">
        <v>0.37490000000000001</v>
      </c>
      <c r="E14" s="3">
        <v>0.72370000000000001</v>
      </c>
      <c r="F14" s="3">
        <v>0.26929999999999998</v>
      </c>
      <c r="G14" s="3">
        <f>IFERROR(2*E14*F14/(E14+F14),"")</f>
        <v>0.39253254783484387</v>
      </c>
      <c r="H14" s="3">
        <v>0.48659999999999998</v>
      </c>
      <c r="I14" s="3">
        <v>0.72950000000000004</v>
      </c>
      <c r="J14" s="60"/>
    </row>
    <row r="15" spans="1:10">
      <c r="A15" s="86"/>
      <c r="B15" s="2" t="s">
        <v>12</v>
      </c>
      <c r="C15" s="2" t="s">
        <v>10</v>
      </c>
      <c r="D15" s="3">
        <v>0.31690000000000002</v>
      </c>
      <c r="E15" s="3">
        <v>0.98599999999999999</v>
      </c>
      <c r="F15" s="3">
        <v>0.24809999999999999</v>
      </c>
      <c r="G15" s="3">
        <f>IFERROR(2*E15*F15/(E15+F15),"")</f>
        <v>0.39644534478567373</v>
      </c>
      <c r="H15" s="3">
        <v>0.70369999999999999</v>
      </c>
      <c r="I15" s="3">
        <v>0.95960000000000001</v>
      </c>
      <c r="J15" s="60"/>
    </row>
    <row r="16" spans="1:10">
      <c r="A16" s="86"/>
      <c r="B16" s="2" t="s">
        <v>12</v>
      </c>
      <c r="C16" s="2" t="s">
        <v>11</v>
      </c>
      <c r="D16" s="3">
        <v>0.42970000000000003</v>
      </c>
      <c r="E16" s="3">
        <v>0.44990000000000002</v>
      </c>
      <c r="F16" s="3">
        <v>0.63129999999999997</v>
      </c>
      <c r="G16" s="3">
        <f>IFERROR(2*E16*F16/(E16+F16),"")</f>
        <v>0.52538266740658535</v>
      </c>
      <c r="H16" s="3">
        <v>0.41589999999999999</v>
      </c>
      <c r="I16" s="3">
        <v>0.44850000000000001</v>
      </c>
      <c r="J16" s="60"/>
    </row>
    <row r="17" spans="1:10" ht="14.5" thickBot="1">
      <c r="A17" s="87"/>
      <c r="B17" s="6" t="s">
        <v>12</v>
      </c>
      <c r="C17" s="6" t="s">
        <v>12</v>
      </c>
      <c r="D17" s="7">
        <v>0.77359999999999995</v>
      </c>
      <c r="E17" s="7">
        <v>0.75819999999999999</v>
      </c>
      <c r="F17" s="7">
        <v>0.77359999999999995</v>
      </c>
      <c r="G17" s="7">
        <v>0.75960000000000005</v>
      </c>
      <c r="H17" s="7">
        <v>0.78420000000000001</v>
      </c>
      <c r="I17" s="7">
        <v>0.75819999999999999</v>
      </c>
      <c r="J17" s="7">
        <v>0.21579999999999999</v>
      </c>
    </row>
    <row r="18" spans="1:10">
      <c r="A18" s="85" t="s">
        <v>28</v>
      </c>
      <c r="B18" s="88" t="s">
        <v>9</v>
      </c>
      <c r="C18" s="11" t="s">
        <v>9</v>
      </c>
      <c r="D18" s="11">
        <v>0.79233299999999995</v>
      </c>
      <c r="E18" s="11">
        <v>0.918682</v>
      </c>
      <c r="F18" s="11">
        <v>0.79333299999999995</v>
      </c>
      <c r="G18" s="11">
        <v>0.85141900000000004</v>
      </c>
      <c r="H18" s="11">
        <v>0.86363400000000001</v>
      </c>
      <c r="I18" s="11">
        <v>0.95111900000000005</v>
      </c>
      <c r="J18" s="23">
        <v>0.20855599999999999</v>
      </c>
    </row>
    <row r="19" spans="1:10">
      <c r="A19" s="86"/>
      <c r="B19" s="89"/>
      <c r="C19" s="12" t="s">
        <v>10</v>
      </c>
      <c r="D19" s="13">
        <v>0.62519999999999998</v>
      </c>
      <c r="E19" s="13">
        <v>0.92900000000000005</v>
      </c>
      <c r="F19" s="13">
        <v>0.63400000000000001</v>
      </c>
      <c r="G19" s="13" t="s">
        <v>15</v>
      </c>
      <c r="H19" s="13">
        <v>0.62480000000000002</v>
      </c>
      <c r="I19" s="13">
        <v>0.93279999999999996</v>
      </c>
      <c r="J19" s="62" t="s">
        <v>16</v>
      </c>
    </row>
    <row r="20" spans="1:10">
      <c r="A20" s="86"/>
      <c r="B20" s="89"/>
      <c r="C20" s="14" t="s">
        <v>11</v>
      </c>
      <c r="D20" s="15">
        <v>0.45800000000000002</v>
      </c>
      <c r="E20" s="15">
        <v>0.41799999999999998</v>
      </c>
      <c r="F20" s="15">
        <v>0.214</v>
      </c>
      <c r="G20" s="15" t="s">
        <v>17</v>
      </c>
      <c r="H20" s="15">
        <v>0.43369999999999997</v>
      </c>
      <c r="I20" s="15">
        <v>0.44359999999999999</v>
      </c>
      <c r="J20" s="62" t="s">
        <v>16</v>
      </c>
    </row>
    <row r="21" spans="1:10">
      <c r="A21" s="86"/>
      <c r="B21" s="90"/>
      <c r="C21" s="12" t="s">
        <v>12</v>
      </c>
      <c r="D21" s="13">
        <v>0.57169999999999999</v>
      </c>
      <c r="E21" s="13">
        <v>0.4788</v>
      </c>
      <c r="F21" s="13">
        <v>0.31719999999999998</v>
      </c>
      <c r="G21" s="13" t="s">
        <v>18</v>
      </c>
      <c r="H21" s="13">
        <v>0.54330000000000001</v>
      </c>
      <c r="I21" s="13">
        <v>0.46360000000000001</v>
      </c>
      <c r="J21" s="62" t="s">
        <v>16</v>
      </c>
    </row>
    <row r="22" spans="1:10" ht="14.5" thickBot="1">
      <c r="A22" s="86"/>
      <c r="B22" s="91" t="s">
        <v>10</v>
      </c>
      <c r="C22" s="14" t="s">
        <v>9</v>
      </c>
      <c r="D22" s="15">
        <v>0.54930000000000001</v>
      </c>
      <c r="E22" s="15">
        <v>0.78029999999999999</v>
      </c>
      <c r="F22" s="15">
        <v>0.55549999999999999</v>
      </c>
      <c r="G22" s="15" t="s">
        <v>19</v>
      </c>
      <c r="H22" s="15">
        <v>0.54679999999999995</v>
      </c>
      <c r="I22" s="15">
        <v>0.76790000000000003</v>
      </c>
      <c r="J22" s="62" t="s">
        <v>16</v>
      </c>
    </row>
    <row r="23" spans="1:10">
      <c r="A23" s="86"/>
      <c r="B23" s="92"/>
      <c r="C23" s="11" t="s">
        <v>10</v>
      </c>
      <c r="D23" s="11">
        <v>0.93457500000000004</v>
      </c>
      <c r="E23" s="11">
        <v>0.94883300000000004</v>
      </c>
      <c r="F23" s="11">
        <v>0.98051900000000003</v>
      </c>
      <c r="G23" s="11">
        <v>0.96441600000000005</v>
      </c>
      <c r="H23" s="11">
        <v>0.90346599999999999</v>
      </c>
      <c r="I23" s="11">
        <v>0.98589199999999999</v>
      </c>
      <c r="J23" s="23">
        <v>0.17388899999999999</v>
      </c>
    </row>
    <row r="24" spans="1:10">
      <c r="A24" s="86"/>
      <c r="B24" s="92"/>
      <c r="C24" s="12" t="s">
        <v>11</v>
      </c>
      <c r="D24" s="13">
        <v>0.48430000000000001</v>
      </c>
      <c r="E24" s="13">
        <v>0.4919</v>
      </c>
      <c r="F24" s="13">
        <v>0.95469999999999999</v>
      </c>
      <c r="G24" s="13" t="s">
        <v>20</v>
      </c>
      <c r="H24" s="13">
        <v>0.41789999999999999</v>
      </c>
      <c r="I24" s="13">
        <v>0.45500000000000002</v>
      </c>
      <c r="J24" s="62" t="s">
        <v>16</v>
      </c>
    </row>
    <row r="25" spans="1:10" ht="14.5" thickBot="1">
      <c r="A25" s="86"/>
      <c r="B25" s="93"/>
      <c r="C25" s="17" t="s">
        <v>12</v>
      </c>
      <c r="D25" s="18">
        <v>0.60729999999999995</v>
      </c>
      <c r="E25" s="18">
        <v>0.51549999999999996</v>
      </c>
      <c r="F25" s="18">
        <v>0.95340000000000003</v>
      </c>
      <c r="G25" s="18" t="s">
        <v>21</v>
      </c>
      <c r="H25" s="18">
        <v>0.80120000000000002</v>
      </c>
      <c r="I25" s="18">
        <v>0.67330000000000001</v>
      </c>
      <c r="J25" s="63" t="s">
        <v>16</v>
      </c>
    </row>
    <row r="26" spans="1:10">
      <c r="A26" s="86"/>
      <c r="B26" s="94" t="s">
        <v>11</v>
      </c>
      <c r="C26" s="19" t="s">
        <v>9</v>
      </c>
      <c r="D26" s="20">
        <v>0.35970000000000002</v>
      </c>
      <c r="E26" s="20">
        <v>0.81040000000000001</v>
      </c>
      <c r="F26" s="20">
        <v>0.19089999999999999</v>
      </c>
      <c r="G26" s="20" t="s">
        <v>22</v>
      </c>
      <c r="H26" s="20">
        <v>0.5766</v>
      </c>
      <c r="I26" s="20">
        <v>0.78790000000000004</v>
      </c>
      <c r="J26" s="64" t="s">
        <v>16</v>
      </c>
    </row>
    <row r="27" spans="1:10" ht="14.5" thickBot="1">
      <c r="A27" s="86"/>
      <c r="B27" s="95"/>
      <c r="C27" s="21" t="s">
        <v>10</v>
      </c>
      <c r="D27" s="15">
        <v>0.65239999999999998</v>
      </c>
      <c r="E27" s="15">
        <v>0.9113</v>
      </c>
      <c r="F27" s="15">
        <v>0.68200000000000005</v>
      </c>
      <c r="G27" s="15" t="s">
        <v>23</v>
      </c>
      <c r="H27" s="15">
        <v>0.53390000000000004</v>
      </c>
      <c r="I27" s="15">
        <v>0.91200000000000003</v>
      </c>
      <c r="J27" s="62" t="s">
        <v>16</v>
      </c>
    </row>
    <row r="28" spans="1:10" ht="14.5" thickBot="1">
      <c r="A28" s="86"/>
      <c r="B28" s="95"/>
      <c r="C28" s="27" t="s">
        <v>11</v>
      </c>
      <c r="D28" s="28">
        <v>0.97199999999999998</v>
      </c>
      <c r="E28" s="28">
        <v>0.96701800000000004</v>
      </c>
      <c r="F28" s="28">
        <v>0.97733300000000001</v>
      </c>
      <c r="G28" s="28">
        <v>0.97214900000000004</v>
      </c>
      <c r="H28" s="28">
        <v>0.99509499999999995</v>
      </c>
      <c r="I28" s="28">
        <v>0.99571200000000004</v>
      </c>
      <c r="J28" s="29">
        <v>2.8333000000000001E-2</v>
      </c>
    </row>
    <row r="29" spans="1:10">
      <c r="A29" s="86"/>
      <c r="B29" s="96"/>
      <c r="C29" s="24" t="s">
        <v>12</v>
      </c>
      <c r="D29" s="13">
        <v>0.47920000000000001</v>
      </c>
      <c r="E29" s="13">
        <v>0.42409999999999998</v>
      </c>
      <c r="F29" s="13">
        <v>0.69930000000000003</v>
      </c>
      <c r="G29" s="13" t="s">
        <v>24</v>
      </c>
      <c r="H29" s="13">
        <v>0.51439999999999997</v>
      </c>
      <c r="I29" s="13">
        <v>0.4254</v>
      </c>
      <c r="J29" s="62" t="s">
        <v>16</v>
      </c>
    </row>
    <row r="30" spans="1:10">
      <c r="A30" s="86"/>
      <c r="B30" s="91" t="s">
        <v>12</v>
      </c>
      <c r="C30" s="21" t="s">
        <v>9</v>
      </c>
      <c r="D30" s="15">
        <v>0.308</v>
      </c>
      <c r="E30" s="15">
        <v>0.72770000000000001</v>
      </c>
      <c r="F30" s="15">
        <v>0.1236</v>
      </c>
      <c r="G30" s="15" t="s">
        <v>25</v>
      </c>
      <c r="H30" s="15">
        <v>0.48130000000000001</v>
      </c>
      <c r="I30" s="15">
        <v>0.73540000000000005</v>
      </c>
      <c r="J30" s="62" t="s">
        <v>16</v>
      </c>
    </row>
    <row r="31" spans="1:10">
      <c r="A31" s="86"/>
      <c r="B31" s="92"/>
      <c r="C31" s="24" t="s">
        <v>10</v>
      </c>
      <c r="D31" s="13">
        <v>0.2802</v>
      </c>
      <c r="E31" s="13">
        <v>0.98929999999999996</v>
      </c>
      <c r="F31" s="13">
        <v>0.20610000000000001</v>
      </c>
      <c r="G31" s="13" t="s">
        <v>26</v>
      </c>
      <c r="H31" s="13">
        <v>0.67789999999999995</v>
      </c>
      <c r="I31" s="13">
        <v>0.95450000000000002</v>
      </c>
      <c r="J31" s="62" t="s">
        <v>16</v>
      </c>
    </row>
    <row r="32" spans="1:10" ht="14.5" thickBot="1">
      <c r="A32" s="86"/>
      <c r="B32" s="92"/>
      <c r="C32" s="21" t="s">
        <v>11</v>
      </c>
      <c r="D32" s="15">
        <v>0.36870000000000003</v>
      </c>
      <c r="E32" s="15">
        <v>0.30840000000000001</v>
      </c>
      <c r="F32" s="15">
        <v>0.21129999999999999</v>
      </c>
      <c r="G32" s="15" t="s">
        <v>27</v>
      </c>
      <c r="H32" s="15">
        <v>0.31159999999999999</v>
      </c>
      <c r="I32" s="15">
        <v>0.38329999999999997</v>
      </c>
      <c r="J32" s="62" t="s">
        <v>16</v>
      </c>
    </row>
    <row r="33" spans="1:10" ht="14.5" thickBot="1">
      <c r="A33" s="86"/>
      <c r="B33" s="92"/>
      <c r="C33" s="22" t="s">
        <v>12</v>
      </c>
      <c r="D33" s="11">
        <v>0.87151500000000004</v>
      </c>
      <c r="E33" s="11">
        <v>0.77571500000000004</v>
      </c>
      <c r="F33" s="11">
        <v>0.97284199999999998</v>
      </c>
      <c r="G33" s="11">
        <v>0.86316700000000002</v>
      </c>
      <c r="H33" s="11">
        <v>0.97822100000000001</v>
      </c>
      <c r="I33" s="11">
        <v>0.97280599999999995</v>
      </c>
      <c r="J33" s="23">
        <v>8.1250000000000003E-2</v>
      </c>
    </row>
    <row r="34" spans="1:10" ht="14.5" thickBot="1">
      <c r="A34" s="80" t="s">
        <v>42</v>
      </c>
      <c r="B34" s="73" t="s">
        <v>9</v>
      </c>
      <c r="C34" s="27" t="s">
        <v>9</v>
      </c>
      <c r="D34" s="28">
        <v>0.75945399999999996</v>
      </c>
      <c r="E34" s="28">
        <v>0.83981899999999998</v>
      </c>
      <c r="F34" s="28">
        <v>0.83977800000000002</v>
      </c>
      <c r="G34" s="28">
        <v>0.83973699999999996</v>
      </c>
      <c r="H34" s="28">
        <v>0.67952699999999999</v>
      </c>
      <c r="I34" s="28">
        <v>0.83987500000000004</v>
      </c>
      <c r="J34" s="29">
        <v>0.32056299999999999</v>
      </c>
    </row>
    <row r="35" spans="1:10">
      <c r="A35" s="81"/>
      <c r="B35" s="74"/>
      <c r="C35" s="36" t="s">
        <v>10</v>
      </c>
      <c r="D35" s="37">
        <v>0.61480000000000001</v>
      </c>
      <c r="E35" s="37">
        <v>0.94889999999999997</v>
      </c>
      <c r="F35" s="37">
        <v>0.60670000000000002</v>
      </c>
      <c r="G35" s="37" t="s">
        <v>30</v>
      </c>
      <c r="H35" s="37">
        <v>0.70850000000000002</v>
      </c>
      <c r="I35" s="37">
        <v>0.95520000000000005</v>
      </c>
      <c r="J35" s="65" t="s">
        <v>16</v>
      </c>
    </row>
    <row r="36" spans="1:10">
      <c r="A36" s="81"/>
      <c r="B36" s="74"/>
      <c r="C36" s="21" t="s">
        <v>11</v>
      </c>
      <c r="D36" s="15">
        <v>0.503</v>
      </c>
      <c r="E36" s="15">
        <v>0.50339999999999996</v>
      </c>
      <c r="F36" s="15">
        <v>0.44929999999999998</v>
      </c>
      <c r="G36" s="15" t="s">
        <v>31</v>
      </c>
      <c r="H36" s="15">
        <v>0.50470000000000004</v>
      </c>
      <c r="I36" s="15">
        <v>0.50149999999999995</v>
      </c>
      <c r="J36" s="62" t="s">
        <v>16</v>
      </c>
    </row>
    <row r="37" spans="1:10" ht="14.5" thickBot="1">
      <c r="A37" s="81"/>
      <c r="B37" s="83"/>
      <c r="C37" s="34" t="s">
        <v>12</v>
      </c>
      <c r="D37" s="35">
        <v>0.58460000000000001</v>
      </c>
      <c r="E37" s="35">
        <v>0.50329999999999997</v>
      </c>
      <c r="F37" s="35">
        <v>0.22309999999999999</v>
      </c>
      <c r="G37" s="35" t="s">
        <v>32</v>
      </c>
      <c r="H37" s="35">
        <v>0.54759999999999998</v>
      </c>
      <c r="I37" s="35">
        <v>0.49640000000000001</v>
      </c>
      <c r="J37" s="66" t="s">
        <v>16</v>
      </c>
    </row>
    <row r="38" spans="1:10" ht="14.5" thickBot="1">
      <c r="A38" s="81"/>
      <c r="B38" s="76" t="s">
        <v>10</v>
      </c>
      <c r="C38" s="32" t="s">
        <v>9</v>
      </c>
      <c r="D38" s="33">
        <v>0.75</v>
      </c>
      <c r="E38" s="33">
        <v>0.75</v>
      </c>
      <c r="F38" s="33">
        <v>1</v>
      </c>
      <c r="G38" s="33" t="s">
        <v>33</v>
      </c>
      <c r="H38" s="33">
        <v>0.49669999999999997</v>
      </c>
      <c r="I38" s="33">
        <v>0.74809999999999999</v>
      </c>
      <c r="J38" s="64" t="s">
        <v>16</v>
      </c>
    </row>
    <row r="39" spans="1:10" ht="14.5" thickBot="1">
      <c r="A39" s="81"/>
      <c r="B39" s="76"/>
      <c r="C39" s="27" t="s">
        <v>10</v>
      </c>
      <c r="D39" s="11">
        <v>0.94631799999999999</v>
      </c>
      <c r="E39" s="11">
        <v>0.96107699999999996</v>
      </c>
      <c r="F39" s="11">
        <v>0.98033400000000004</v>
      </c>
      <c r="G39" s="11">
        <v>0.97060999999999997</v>
      </c>
      <c r="H39" s="11">
        <v>0.94839700000000005</v>
      </c>
      <c r="I39" s="11">
        <v>0.99368100000000004</v>
      </c>
      <c r="J39" s="23">
        <v>0.129084</v>
      </c>
    </row>
    <row r="40" spans="1:10">
      <c r="A40" s="81"/>
      <c r="B40" s="76"/>
      <c r="C40" s="36" t="s">
        <v>11</v>
      </c>
      <c r="D40" s="37">
        <v>0.5</v>
      </c>
      <c r="E40" s="37">
        <v>0.5</v>
      </c>
      <c r="F40" s="37">
        <v>1</v>
      </c>
      <c r="G40" s="37" t="s">
        <v>34</v>
      </c>
      <c r="H40" s="37">
        <v>0.48230000000000001</v>
      </c>
      <c r="I40" s="37">
        <v>0.49070000000000003</v>
      </c>
      <c r="J40" s="65" t="s">
        <v>16</v>
      </c>
    </row>
    <row r="41" spans="1:10" ht="14.5" thickBot="1">
      <c r="A41" s="81"/>
      <c r="B41" s="77"/>
      <c r="C41" s="30" t="s">
        <v>12</v>
      </c>
      <c r="D41" s="31">
        <v>0.41660000000000003</v>
      </c>
      <c r="E41" s="31">
        <v>0.41660000000000003</v>
      </c>
      <c r="F41" s="31">
        <v>1</v>
      </c>
      <c r="G41" s="31" t="s">
        <v>35</v>
      </c>
      <c r="H41" s="31">
        <v>0.61519999999999997</v>
      </c>
      <c r="I41" s="31">
        <v>0.48799999999999999</v>
      </c>
      <c r="J41" s="66" t="s">
        <v>16</v>
      </c>
    </row>
    <row r="42" spans="1:10">
      <c r="A42" s="81"/>
      <c r="B42" s="84" t="s">
        <v>11</v>
      </c>
      <c r="C42" s="19" t="s">
        <v>9</v>
      </c>
      <c r="D42" s="20">
        <v>0.36820000000000003</v>
      </c>
      <c r="E42" s="20">
        <v>0.75760000000000005</v>
      </c>
      <c r="F42" s="20">
        <v>0.23169999999999999</v>
      </c>
      <c r="G42" s="20" t="s">
        <v>36</v>
      </c>
      <c r="H42" s="20">
        <v>0.52810000000000001</v>
      </c>
      <c r="I42" s="20">
        <v>0.75260000000000005</v>
      </c>
      <c r="J42" s="64" t="s">
        <v>16</v>
      </c>
    </row>
    <row r="43" spans="1:10" ht="14.5" thickBot="1">
      <c r="A43" s="81"/>
      <c r="B43" s="78"/>
      <c r="C43" s="30" t="s">
        <v>10</v>
      </c>
      <c r="D43" s="31">
        <v>0.87770000000000004</v>
      </c>
      <c r="E43" s="31">
        <v>0.90539999999999998</v>
      </c>
      <c r="F43" s="31">
        <v>0.9657</v>
      </c>
      <c r="G43" s="31" t="s">
        <v>37</v>
      </c>
      <c r="H43" s="31">
        <v>0.50329999999999997</v>
      </c>
      <c r="I43" s="31">
        <v>0.90469999999999995</v>
      </c>
      <c r="J43" s="66" t="s">
        <v>16</v>
      </c>
    </row>
    <row r="44" spans="1:10">
      <c r="A44" s="81"/>
      <c r="B44" s="78"/>
      <c r="C44" s="22" t="s">
        <v>11</v>
      </c>
      <c r="D44" s="11">
        <v>0.93899999999999995</v>
      </c>
      <c r="E44" s="11">
        <v>0.90176900000000004</v>
      </c>
      <c r="F44" s="11">
        <v>0.98533300000000001</v>
      </c>
      <c r="G44" s="11">
        <v>0.94170100000000001</v>
      </c>
      <c r="H44" s="11">
        <v>0.99270400000000003</v>
      </c>
      <c r="I44" s="11">
        <v>0.99310399999999999</v>
      </c>
      <c r="J44" s="23">
        <v>4.2000000000000003E-2</v>
      </c>
    </row>
    <row r="45" spans="1:10" ht="14.5" thickBot="1">
      <c r="A45" s="81"/>
      <c r="B45" s="79"/>
      <c r="C45" s="38" t="s">
        <v>12</v>
      </c>
      <c r="D45" s="39">
        <v>0.44529999999999997</v>
      </c>
      <c r="E45" s="39">
        <v>0.42120000000000002</v>
      </c>
      <c r="F45" s="39">
        <v>0.88649999999999995</v>
      </c>
      <c r="G45" s="39" t="s">
        <v>38</v>
      </c>
      <c r="H45" s="39">
        <v>0.50990000000000002</v>
      </c>
      <c r="I45" s="39">
        <v>0.42220000000000002</v>
      </c>
      <c r="J45" s="67" t="s">
        <v>16</v>
      </c>
    </row>
    <row r="46" spans="1:10">
      <c r="A46" s="81"/>
      <c r="B46" s="75" t="s">
        <v>12</v>
      </c>
      <c r="C46" s="32" t="s">
        <v>9</v>
      </c>
      <c r="D46" s="33">
        <v>0.35439999999999999</v>
      </c>
      <c r="E46" s="33">
        <v>0.70820000000000005</v>
      </c>
      <c r="F46" s="33">
        <v>0.23669999999999999</v>
      </c>
      <c r="G46" s="33" t="s">
        <v>39</v>
      </c>
      <c r="H46" s="33">
        <v>0.47839999999999999</v>
      </c>
      <c r="I46" s="33">
        <v>0.72050000000000003</v>
      </c>
      <c r="J46" s="64" t="s">
        <v>16</v>
      </c>
    </row>
    <row r="47" spans="1:10">
      <c r="A47" s="81"/>
      <c r="B47" s="76"/>
      <c r="C47" s="24" t="s">
        <v>10</v>
      </c>
      <c r="D47" s="13">
        <v>0.32179999999999997</v>
      </c>
      <c r="E47" s="13">
        <v>0.9849</v>
      </c>
      <c r="F47" s="13">
        <v>0.25380000000000003</v>
      </c>
      <c r="G47" s="13" t="s">
        <v>40</v>
      </c>
      <c r="H47" s="13">
        <v>0.74160000000000004</v>
      </c>
      <c r="I47" s="13">
        <v>0.96330000000000005</v>
      </c>
      <c r="J47" s="62" t="s">
        <v>16</v>
      </c>
    </row>
    <row r="48" spans="1:10" ht="14.5" thickBot="1">
      <c r="A48" s="81"/>
      <c r="B48" s="76"/>
      <c r="C48" s="21" t="s">
        <v>11</v>
      </c>
      <c r="D48" s="15">
        <v>0.42399999999999999</v>
      </c>
      <c r="E48" s="15">
        <v>0.45200000000000001</v>
      </c>
      <c r="F48" s="15">
        <v>0.71599999999999997</v>
      </c>
      <c r="G48" s="15" t="s">
        <v>41</v>
      </c>
      <c r="H48" s="15">
        <v>0.33629999999999999</v>
      </c>
      <c r="I48" s="15">
        <v>0.39479999999999998</v>
      </c>
      <c r="J48" s="62" t="s">
        <v>16</v>
      </c>
    </row>
    <row r="49" spans="1:10" ht="14.5" thickBot="1">
      <c r="A49" s="82"/>
      <c r="B49" s="77"/>
      <c r="C49" s="22" t="s">
        <v>12</v>
      </c>
      <c r="D49" s="11">
        <v>0.78585899999999997</v>
      </c>
      <c r="E49" s="11">
        <v>0.76507899999999995</v>
      </c>
      <c r="F49" s="11">
        <v>0.70126100000000002</v>
      </c>
      <c r="G49" s="11">
        <v>0.73178100000000001</v>
      </c>
      <c r="H49" s="11">
        <v>0.87367600000000001</v>
      </c>
      <c r="I49" s="11">
        <v>0.80688199999999999</v>
      </c>
      <c r="J49" s="23">
        <v>0.20980799999999999</v>
      </c>
    </row>
    <row r="50" spans="1:10">
      <c r="A50" s="80" t="s">
        <v>43</v>
      </c>
      <c r="B50" s="73" t="s">
        <v>9</v>
      </c>
      <c r="C50" s="47" t="s">
        <v>9</v>
      </c>
      <c r="D50" s="48">
        <v>0.73611099999999996</v>
      </c>
      <c r="E50" s="48">
        <v>0.83128899999999994</v>
      </c>
      <c r="F50" s="48">
        <v>0.81318500000000005</v>
      </c>
      <c r="G50" s="48">
        <v>0.82213700000000001</v>
      </c>
      <c r="H50" s="48">
        <v>0.73696799999999996</v>
      </c>
      <c r="I50" s="48">
        <v>0.88126300000000002</v>
      </c>
      <c r="J50" s="51">
        <v>0.32155600000000001</v>
      </c>
    </row>
    <row r="51" spans="1:10">
      <c r="A51" s="81"/>
      <c r="B51" s="74"/>
      <c r="C51" s="42" t="s">
        <v>10</v>
      </c>
      <c r="D51" s="43">
        <v>0.31759999999999999</v>
      </c>
      <c r="E51" s="43">
        <v>0.90449999999999997</v>
      </c>
      <c r="F51" s="43">
        <v>0.2742</v>
      </c>
      <c r="G51" s="43">
        <v>0.42082616441842702</v>
      </c>
      <c r="H51" s="43">
        <v>0.5081</v>
      </c>
      <c r="I51" s="43">
        <v>0.90649999999999997</v>
      </c>
      <c r="J51" s="52"/>
    </row>
    <row r="52" spans="1:10">
      <c r="A52" s="81"/>
      <c r="B52" s="74"/>
      <c r="C52" s="40" t="s">
        <v>11</v>
      </c>
      <c r="D52" s="41">
        <v>0.49969999999999998</v>
      </c>
      <c r="E52" s="41">
        <v>0.49959999999999999</v>
      </c>
      <c r="F52" s="41">
        <v>0.442</v>
      </c>
      <c r="G52" s="41">
        <v>0.46903823279524215</v>
      </c>
      <c r="H52" s="41">
        <v>0.50890000000000002</v>
      </c>
      <c r="I52" s="41">
        <v>0.48580000000000001</v>
      </c>
      <c r="J52" s="53"/>
    </row>
    <row r="53" spans="1:10" ht="14.5" thickBot="1">
      <c r="A53" s="81"/>
      <c r="B53" s="74"/>
      <c r="C53" s="55" t="s">
        <v>12</v>
      </c>
      <c r="D53" s="56">
        <v>0.55030000000000001</v>
      </c>
      <c r="E53" s="56">
        <v>0.41770000000000002</v>
      </c>
      <c r="F53" s="56">
        <v>0.20169999999999999</v>
      </c>
      <c r="G53" s="56">
        <v>0.27203774620600585</v>
      </c>
      <c r="H53" s="56">
        <v>0.47810000000000002</v>
      </c>
      <c r="I53" s="56">
        <v>0.4128</v>
      </c>
      <c r="J53" s="68"/>
    </row>
    <row r="54" spans="1:10" ht="14.5" thickBot="1">
      <c r="A54" s="81"/>
      <c r="B54" s="75" t="s">
        <v>10</v>
      </c>
      <c r="C54" s="47" t="s">
        <v>9</v>
      </c>
      <c r="D54" s="48">
        <v>0.64259999999999995</v>
      </c>
      <c r="E54" s="48">
        <v>0.76939999999999997</v>
      </c>
      <c r="F54" s="48">
        <v>0.74739999999999995</v>
      </c>
      <c r="G54" s="48">
        <v>0.75824045358649783</v>
      </c>
      <c r="H54" s="48">
        <v>0.55779999999999996</v>
      </c>
      <c r="I54" s="48">
        <v>0.7752</v>
      </c>
      <c r="J54" s="51"/>
    </row>
    <row r="55" spans="1:10">
      <c r="A55" s="81"/>
      <c r="B55" s="76"/>
      <c r="C55" s="22" t="s">
        <v>10</v>
      </c>
      <c r="D55" s="11">
        <v>0.90371100000000004</v>
      </c>
      <c r="E55" s="11">
        <v>0.90421099999999999</v>
      </c>
      <c r="F55" s="11">
        <v>0.99939999999999996</v>
      </c>
      <c r="G55" s="11">
        <v>0.94969599999999998</v>
      </c>
      <c r="H55" s="11">
        <v>0.57043500000000003</v>
      </c>
      <c r="I55" s="11">
        <v>0.92355399999999999</v>
      </c>
      <c r="J55" s="23">
        <v>0.45207900000000001</v>
      </c>
    </row>
    <row r="56" spans="1:10">
      <c r="A56" s="81"/>
      <c r="B56" s="76"/>
      <c r="C56" s="40" t="s">
        <v>11</v>
      </c>
      <c r="D56" s="41">
        <v>0.49669999999999997</v>
      </c>
      <c r="E56" s="41">
        <v>0.49830000000000002</v>
      </c>
      <c r="F56" s="41">
        <v>0.96199999999999997</v>
      </c>
      <c r="G56" s="41">
        <v>0.65652893241114851</v>
      </c>
      <c r="H56" s="41">
        <v>0.50660000000000005</v>
      </c>
      <c r="I56" s="41">
        <v>0.50370000000000004</v>
      </c>
      <c r="J56" s="53"/>
    </row>
    <row r="57" spans="1:10" ht="14.5" thickBot="1">
      <c r="A57" s="81"/>
      <c r="B57" s="77"/>
      <c r="C57" s="49" t="s">
        <v>12</v>
      </c>
      <c r="D57" s="50">
        <v>0.55310000000000004</v>
      </c>
      <c r="E57" s="50">
        <v>0.48080000000000001</v>
      </c>
      <c r="F57" s="50">
        <v>0.90880000000000005</v>
      </c>
      <c r="G57" s="50">
        <v>0.62888750719631548</v>
      </c>
      <c r="H57" s="50">
        <v>0.71240000000000003</v>
      </c>
      <c r="I57" s="50">
        <v>0.59019999999999995</v>
      </c>
      <c r="J57" s="54"/>
    </row>
    <row r="58" spans="1:10">
      <c r="A58" s="81"/>
      <c r="B58" s="78" t="s">
        <v>11</v>
      </c>
      <c r="C58" s="45" t="s">
        <v>9</v>
      </c>
      <c r="D58" s="46">
        <v>0.67210000000000003</v>
      </c>
      <c r="E58" s="46">
        <v>0.748</v>
      </c>
      <c r="F58" s="46">
        <v>0.84870000000000001</v>
      </c>
      <c r="G58" s="46">
        <v>0.79517454750422756</v>
      </c>
      <c r="H58" s="46">
        <v>0.44390000000000002</v>
      </c>
      <c r="I58" s="46">
        <v>0.71240000000000003</v>
      </c>
      <c r="J58" s="69"/>
    </row>
    <row r="59" spans="1:10" ht="14.5" thickBot="1">
      <c r="A59" s="81"/>
      <c r="B59" s="78"/>
      <c r="C59" s="42" t="s">
        <v>10</v>
      </c>
      <c r="D59" s="43">
        <v>0.75890000000000002</v>
      </c>
      <c r="E59" s="43">
        <v>0.89939999999999998</v>
      </c>
      <c r="F59" s="43">
        <v>0.82579999999999998</v>
      </c>
      <c r="G59" s="43">
        <v>0.86103004869000688</v>
      </c>
      <c r="H59" s="43">
        <v>0.46250000000000002</v>
      </c>
      <c r="I59" s="43">
        <v>0.89570000000000005</v>
      </c>
      <c r="J59" s="52"/>
    </row>
    <row r="60" spans="1:10">
      <c r="A60" s="81"/>
      <c r="B60" s="78"/>
      <c r="C60" s="22" t="s">
        <v>11</v>
      </c>
      <c r="D60" s="11">
        <v>0.93966700000000003</v>
      </c>
      <c r="E60" s="11">
        <v>0.91244499999999995</v>
      </c>
      <c r="F60" s="11">
        <v>0.97266699999999995</v>
      </c>
      <c r="G60" s="11">
        <v>0.94159400000000004</v>
      </c>
      <c r="H60" s="11">
        <v>0.98776799999999998</v>
      </c>
      <c r="I60" s="11">
        <v>0.98840300000000003</v>
      </c>
      <c r="J60" s="23">
        <v>4.8333000000000001E-2</v>
      </c>
    </row>
    <row r="61" spans="1:10" ht="14.5" thickBot="1">
      <c r="A61" s="81"/>
      <c r="B61" s="79"/>
      <c r="C61" s="49" t="s">
        <v>12</v>
      </c>
      <c r="D61" s="50">
        <v>0.39879999999999999</v>
      </c>
      <c r="E61" s="50">
        <v>0.37080000000000002</v>
      </c>
      <c r="F61" s="50">
        <v>0.63629999999999998</v>
      </c>
      <c r="G61" s="50">
        <v>0.46855335120643438</v>
      </c>
      <c r="H61" s="50">
        <v>0.40939999999999999</v>
      </c>
      <c r="I61" s="50">
        <v>0.36170000000000002</v>
      </c>
      <c r="J61" s="54"/>
    </row>
    <row r="62" spans="1:10">
      <c r="A62" s="81"/>
      <c r="B62" s="76" t="s">
        <v>12</v>
      </c>
      <c r="C62" s="45" t="s">
        <v>9</v>
      </c>
      <c r="D62" s="46">
        <v>0.25890000000000002</v>
      </c>
      <c r="E62" s="46">
        <v>0.55730000000000002</v>
      </c>
      <c r="F62" s="46">
        <v>5.8000000000000003E-2</v>
      </c>
      <c r="G62" s="46">
        <v>0.10506549650576953</v>
      </c>
      <c r="H62" s="46">
        <v>0.3846</v>
      </c>
      <c r="I62" s="46">
        <v>0.67669999999999997</v>
      </c>
      <c r="J62" s="69"/>
    </row>
    <row r="63" spans="1:10">
      <c r="A63" s="81"/>
      <c r="B63" s="76"/>
      <c r="C63" s="42" t="s">
        <v>10</v>
      </c>
      <c r="D63" s="43">
        <v>0.23019999999999999</v>
      </c>
      <c r="E63" s="43">
        <v>0.9819</v>
      </c>
      <c r="F63" s="43">
        <v>0.15140000000000001</v>
      </c>
      <c r="G63" s="43">
        <v>0.26234829259684112</v>
      </c>
      <c r="H63" s="43">
        <v>0.70840000000000003</v>
      </c>
      <c r="I63" s="43">
        <v>0.95389999999999997</v>
      </c>
      <c r="J63" s="52"/>
    </row>
    <row r="64" spans="1:10" ht="14.5" thickBot="1">
      <c r="A64" s="81"/>
      <c r="B64" s="76"/>
      <c r="C64" s="40" t="s">
        <v>11</v>
      </c>
      <c r="D64" s="41">
        <v>0.46300000000000002</v>
      </c>
      <c r="E64" s="41">
        <v>0.47520000000000001</v>
      </c>
      <c r="F64" s="41">
        <v>0.71</v>
      </c>
      <c r="G64" s="41">
        <v>0.56934188322645962</v>
      </c>
      <c r="H64" s="41">
        <v>0.42709999999999998</v>
      </c>
      <c r="I64" s="41">
        <v>0.44409999999999999</v>
      </c>
      <c r="J64" s="53"/>
    </row>
    <row r="65" spans="1:10" ht="14.5" thickBot="1">
      <c r="A65" s="82"/>
      <c r="B65" s="77"/>
      <c r="C65" s="22" t="s">
        <v>12</v>
      </c>
      <c r="D65" s="11">
        <v>0.87111099999999997</v>
      </c>
      <c r="E65" s="11">
        <v>0.86475400000000002</v>
      </c>
      <c r="F65" s="11">
        <v>0.81862299999999999</v>
      </c>
      <c r="G65" s="11">
        <v>0.84105600000000003</v>
      </c>
      <c r="H65" s="11">
        <v>0.94332400000000005</v>
      </c>
      <c r="I65" s="11">
        <v>0.92710899999999996</v>
      </c>
      <c r="J65" s="23">
        <v>0.130914</v>
      </c>
    </row>
    <row r="66" spans="1:10">
      <c r="A66" s="80" t="s">
        <v>44</v>
      </c>
      <c r="B66" s="73" t="s">
        <v>9</v>
      </c>
      <c r="C66" s="22" t="s">
        <v>9</v>
      </c>
      <c r="D66" s="11">
        <v>0.78783300000000001</v>
      </c>
      <c r="E66" s="11">
        <v>0.88815200000000005</v>
      </c>
      <c r="F66" s="11">
        <v>0.820407</v>
      </c>
      <c r="G66" s="11">
        <v>0.85306000000000004</v>
      </c>
      <c r="H66" s="11">
        <v>0.83514100000000002</v>
      </c>
      <c r="I66" s="11">
        <v>0.92607200000000001</v>
      </c>
      <c r="J66" s="23">
        <v>0.237785</v>
      </c>
    </row>
    <row r="67" spans="1:10">
      <c r="A67" s="81"/>
      <c r="B67" s="74"/>
      <c r="C67" s="42" t="s">
        <v>10</v>
      </c>
      <c r="D67" s="43">
        <v>0.8448</v>
      </c>
      <c r="E67" s="43">
        <v>0.92659999999999998</v>
      </c>
      <c r="F67" s="43">
        <v>0.89959999999999996</v>
      </c>
      <c r="G67" s="43">
        <v>0.91290040521301052</v>
      </c>
      <c r="H67" s="43">
        <v>0.71130000000000004</v>
      </c>
      <c r="I67" s="43">
        <v>0.95040000000000002</v>
      </c>
      <c r="J67" s="52"/>
    </row>
    <row r="68" spans="1:10">
      <c r="A68" s="81"/>
      <c r="B68" s="74"/>
      <c r="C68" s="40" t="s">
        <v>11</v>
      </c>
      <c r="D68" s="41">
        <v>0.51870000000000005</v>
      </c>
      <c r="E68" s="41">
        <v>0.5161</v>
      </c>
      <c r="F68" s="41">
        <v>0.6</v>
      </c>
      <c r="G68" s="41">
        <v>0.55489651464922507</v>
      </c>
      <c r="H68" s="41">
        <v>0.52100000000000002</v>
      </c>
      <c r="I68" s="41">
        <v>0.50600000000000001</v>
      </c>
      <c r="J68" s="53"/>
    </row>
    <row r="69" spans="1:10" ht="14.5" thickBot="1">
      <c r="A69" s="81"/>
      <c r="B69" s="83"/>
      <c r="C69" s="49" t="s">
        <v>12</v>
      </c>
      <c r="D69" s="50">
        <v>0.4945</v>
      </c>
      <c r="E69" s="50">
        <v>0.44169999999999998</v>
      </c>
      <c r="F69" s="50">
        <v>0.80889999999999995</v>
      </c>
      <c r="G69" s="50">
        <v>0.57139154006077075</v>
      </c>
      <c r="H69" s="50">
        <v>0.57920000000000005</v>
      </c>
      <c r="I69" s="50">
        <v>0.4763</v>
      </c>
      <c r="J69" s="54"/>
    </row>
    <row r="70" spans="1:10" ht="14.5" thickBot="1">
      <c r="A70" s="81"/>
      <c r="B70" s="75" t="s">
        <v>10</v>
      </c>
      <c r="C70" s="47" t="s">
        <v>9</v>
      </c>
      <c r="D70" s="48">
        <v>0.32890000000000003</v>
      </c>
      <c r="E70" s="48">
        <v>0.85829999999999995</v>
      </c>
      <c r="F70" s="48">
        <v>0.12609999999999999</v>
      </c>
      <c r="G70" s="48">
        <v>0.21989360016253554</v>
      </c>
      <c r="H70" s="48">
        <v>0.53979999999999995</v>
      </c>
      <c r="I70" s="48">
        <v>0.79549999999999998</v>
      </c>
      <c r="J70" s="51"/>
    </row>
    <row r="71" spans="1:10">
      <c r="A71" s="81"/>
      <c r="B71" s="76"/>
      <c r="C71" s="22" t="s">
        <v>10</v>
      </c>
      <c r="D71" s="11">
        <v>0.974333</v>
      </c>
      <c r="E71" s="11">
        <v>0.97531299999999999</v>
      </c>
      <c r="F71" s="11">
        <v>0.99684600000000001</v>
      </c>
      <c r="G71" s="11">
        <v>0.98596200000000001</v>
      </c>
      <c r="H71" s="11">
        <v>0.99001399999999995</v>
      </c>
      <c r="I71" s="11">
        <v>0.99882899999999997</v>
      </c>
      <c r="J71" s="23">
        <v>4.5123000000000003E-2</v>
      </c>
    </row>
    <row r="72" spans="1:10">
      <c r="A72" s="81"/>
      <c r="B72" s="76"/>
      <c r="C72" s="40" t="s">
        <v>11</v>
      </c>
      <c r="D72" s="41">
        <v>0.49070000000000003</v>
      </c>
      <c r="E72" s="41">
        <v>0.49330000000000002</v>
      </c>
      <c r="F72" s="41">
        <v>0.68730000000000002</v>
      </c>
      <c r="G72" s="41">
        <v>0.57436064712857871</v>
      </c>
      <c r="H72" s="41">
        <v>0.4662</v>
      </c>
      <c r="I72" s="41">
        <v>0.4743</v>
      </c>
      <c r="J72" s="53"/>
    </row>
    <row r="73" spans="1:10" ht="14.5" thickBot="1">
      <c r="A73" s="81"/>
      <c r="B73" s="77"/>
      <c r="C73" s="49" t="s">
        <v>12</v>
      </c>
      <c r="D73" s="50">
        <v>0.70340000000000003</v>
      </c>
      <c r="E73" s="50">
        <v>0.60360000000000003</v>
      </c>
      <c r="F73" s="50">
        <v>0.83899999999999997</v>
      </c>
      <c r="G73" s="50">
        <v>0.70209399694995145</v>
      </c>
      <c r="H73" s="50">
        <v>0.79830000000000001</v>
      </c>
      <c r="I73" s="50">
        <v>0.69399999999999995</v>
      </c>
      <c r="J73" s="54"/>
    </row>
    <row r="74" spans="1:10">
      <c r="A74" s="81"/>
      <c r="B74" s="84" t="s">
        <v>11</v>
      </c>
      <c r="C74" s="47" t="s">
        <v>9</v>
      </c>
      <c r="D74" s="48">
        <v>0.755</v>
      </c>
      <c r="E74" s="48">
        <v>0.75570000000000004</v>
      </c>
      <c r="F74" s="48">
        <v>0.995</v>
      </c>
      <c r="G74" s="48">
        <v>0.85899525903924134</v>
      </c>
      <c r="H74" s="48">
        <v>0.56489999999999996</v>
      </c>
      <c r="I74" s="48">
        <v>0.77559999999999996</v>
      </c>
      <c r="J74" s="51"/>
    </row>
    <row r="75" spans="1:10">
      <c r="A75" s="81"/>
      <c r="B75" s="78"/>
      <c r="C75" s="42" t="s">
        <v>10</v>
      </c>
      <c r="D75" s="43">
        <v>0.85929999999999995</v>
      </c>
      <c r="E75" s="43">
        <v>0.90249999999999997</v>
      </c>
      <c r="F75" s="43">
        <v>0.9466</v>
      </c>
      <c r="G75" s="43">
        <v>0.92402411984208532</v>
      </c>
      <c r="H75" s="43">
        <v>0.4703</v>
      </c>
      <c r="I75" s="43">
        <v>0.89870000000000005</v>
      </c>
      <c r="J75" s="52"/>
    </row>
    <row r="76" spans="1:10">
      <c r="A76" s="81"/>
      <c r="B76" s="78"/>
      <c r="C76" s="98" t="s">
        <v>11</v>
      </c>
      <c r="D76" s="99">
        <v>0.95099999999999996</v>
      </c>
      <c r="E76" s="99">
        <v>0.980128</v>
      </c>
      <c r="F76" s="99">
        <v>0.92066700000000001</v>
      </c>
      <c r="G76" s="99">
        <v>0.94946699999999995</v>
      </c>
      <c r="H76" s="99">
        <v>0.99214100000000005</v>
      </c>
      <c r="I76" s="99">
        <v>0.99328399999999994</v>
      </c>
      <c r="J76" s="100">
        <v>3.9333E-2</v>
      </c>
    </row>
    <row r="77" spans="1:10" ht="14.5" thickBot="1">
      <c r="A77" s="81"/>
      <c r="B77" s="79"/>
      <c r="C77" s="49" t="s">
        <v>12</v>
      </c>
      <c r="D77" s="50">
        <v>0.46989999999999998</v>
      </c>
      <c r="E77" s="50">
        <v>0.42659999999999998</v>
      </c>
      <c r="F77" s="50">
        <v>0.79239999999999999</v>
      </c>
      <c r="G77" s="50">
        <v>0.55461499589827734</v>
      </c>
      <c r="H77" s="50">
        <v>0.54190000000000005</v>
      </c>
      <c r="I77" s="50">
        <v>0.44519999999999998</v>
      </c>
      <c r="J77" s="54"/>
    </row>
    <row r="78" spans="1:10">
      <c r="A78" s="81"/>
      <c r="B78" s="75" t="s">
        <v>12</v>
      </c>
      <c r="C78" s="47" t="s">
        <v>9</v>
      </c>
      <c r="D78" s="48">
        <v>0.46970000000000001</v>
      </c>
      <c r="E78" s="48">
        <v>0.74760000000000004</v>
      </c>
      <c r="F78" s="48">
        <v>0.44230000000000003</v>
      </c>
      <c r="G78" s="48">
        <v>0.55578364568451133</v>
      </c>
      <c r="H78" s="48">
        <v>0.50829999999999997</v>
      </c>
      <c r="I78" s="48">
        <v>0.7369</v>
      </c>
      <c r="J78" s="51"/>
    </row>
    <row r="79" spans="1:10">
      <c r="A79" s="81"/>
      <c r="B79" s="76"/>
      <c r="C79" s="42" t="s">
        <v>10</v>
      </c>
      <c r="D79" s="43">
        <v>0.2079</v>
      </c>
      <c r="E79" s="43">
        <v>0.98129999999999995</v>
      </c>
      <c r="F79" s="43">
        <v>0.1263</v>
      </c>
      <c r="G79" s="43">
        <v>0.22379593716143012</v>
      </c>
      <c r="H79" s="43">
        <v>0.70779999999999998</v>
      </c>
      <c r="I79" s="43">
        <v>0.95569999999999999</v>
      </c>
      <c r="J79" s="52"/>
    </row>
    <row r="80" spans="1:10" ht="14.5" thickBot="1">
      <c r="A80" s="81"/>
      <c r="B80" s="76"/>
      <c r="C80" s="40" t="s">
        <v>11</v>
      </c>
      <c r="D80" s="41">
        <v>0.35670000000000002</v>
      </c>
      <c r="E80" s="41">
        <v>0.3024</v>
      </c>
      <c r="F80" s="41">
        <v>0.21929999999999999</v>
      </c>
      <c r="G80" s="41">
        <v>0.25423162737205285</v>
      </c>
      <c r="H80" s="41">
        <v>0.31919999999999998</v>
      </c>
      <c r="I80" s="41">
        <v>0.38290000000000002</v>
      </c>
      <c r="J80" s="53"/>
    </row>
    <row r="81" spans="1:10" ht="14.5" thickBot="1">
      <c r="A81" s="82"/>
      <c r="B81" s="77"/>
      <c r="C81" s="22" t="s">
        <v>12</v>
      </c>
      <c r="D81" s="11">
        <v>0.84282800000000002</v>
      </c>
      <c r="E81" s="11">
        <v>0.73777800000000004</v>
      </c>
      <c r="F81" s="11">
        <v>0.96605200000000002</v>
      </c>
      <c r="G81" s="11">
        <v>0.83662300000000001</v>
      </c>
      <c r="H81" s="11">
        <v>0.96207799999999999</v>
      </c>
      <c r="I81" s="11">
        <v>0.95156099999999999</v>
      </c>
      <c r="J81" s="23">
        <v>0.109025</v>
      </c>
    </row>
    <row r="82" spans="1:10">
      <c r="A82" s="80" t="s">
        <v>45</v>
      </c>
      <c r="B82" s="73" t="s">
        <v>9</v>
      </c>
      <c r="C82" s="22" t="s">
        <v>9</v>
      </c>
      <c r="D82" s="11">
        <v>0.80522300000000002</v>
      </c>
      <c r="E82" s="11" t="s">
        <v>51</v>
      </c>
      <c r="F82" s="11" t="s">
        <v>52</v>
      </c>
      <c r="G82" s="11" t="s">
        <v>53</v>
      </c>
      <c r="H82" s="11" t="s">
        <v>54</v>
      </c>
      <c r="I82" s="11" t="s">
        <v>55</v>
      </c>
      <c r="J82" s="23" t="s">
        <v>56</v>
      </c>
    </row>
    <row r="83" spans="1:10">
      <c r="A83" s="81"/>
      <c r="B83" s="74" t="s">
        <v>9</v>
      </c>
      <c r="C83" s="42" t="s">
        <v>10</v>
      </c>
      <c r="D83" s="43">
        <v>0.74886799999999998</v>
      </c>
      <c r="E83" s="43">
        <v>0.92527899999999996</v>
      </c>
      <c r="F83" s="43">
        <v>0.78571400000000002</v>
      </c>
      <c r="G83" s="43">
        <v>0.849804</v>
      </c>
      <c r="H83" s="43">
        <v>0.64402899999999996</v>
      </c>
      <c r="I83" s="43">
        <v>0.94040400000000002</v>
      </c>
      <c r="J83" s="52">
        <v>0.39877400000000002</v>
      </c>
    </row>
    <row r="84" spans="1:10">
      <c r="A84" s="81"/>
      <c r="B84" s="74" t="s">
        <v>9</v>
      </c>
      <c r="C84" s="40" t="s">
        <v>11</v>
      </c>
      <c r="D84" s="41">
        <v>0.54400000000000004</v>
      </c>
      <c r="E84" s="41">
        <v>0.53868700000000003</v>
      </c>
      <c r="F84" s="41">
        <v>0.61266699999999996</v>
      </c>
      <c r="G84" s="41">
        <v>0.57330000000000003</v>
      </c>
      <c r="H84" s="41">
        <v>0.57524600000000004</v>
      </c>
      <c r="I84" s="41">
        <v>0.61024699999999998</v>
      </c>
      <c r="J84" s="53">
        <v>0.45066699999999998</v>
      </c>
    </row>
    <row r="85" spans="1:10" ht="14.5" thickBot="1">
      <c r="A85" s="81"/>
      <c r="B85" s="74" t="s">
        <v>9</v>
      </c>
      <c r="C85" s="55" t="s">
        <v>12</v>
      </c>
      <c r="D85" s="56">
        <v>0.80522300000000002</v>
      </c>
      <c r="E85" s="56">
        <v>0.44086700000000001</v>
      </c>
      <c r="F85" s="56">
        <v>0.65082399999999996</v>
      </c>
      <c r="G85" s="56">
        <v>0.52565600000000001</v>
      </c>
      <c r="H85" s="56">
        <v>0.54768300000000003</v>
      </c>
      <c r="I85" s="56">
        <v>0.46169100000000002</v>
      </c>
      <c r="J85" s="68">
        <v>0.46879599999999999</v>
      </c>
    </row>
    <row r="86" spans="1:10" ht="14.5" thickBot="1">
      <c r="A86" s="81"/>
      <c r="B86" s="75" t="s">
        <v>10</v>
      </c>
      <c r="C86" s="47" t="s">
        <v>9</v>
      </c>
      <c r="D86" s="48">
        <v>0.58611100000000005</v>
      </c>
      <c r="E86" s="48">
        <v>0.77018600000000004</v>
      </c>
      <c r="F86" s="48">
        <v>0.638741</v>
      </c>
      <c r="G86" s="48">
        <v>0.69833199999999995</v>
      </c>
      <c r="H86" s="48">
        <v>0.58406599999999997</v>
      </c>
      <c r="I86" s="48">
        <v>0.82426100000000002</v>
      </c>
      <c r="J86" s="51">
        <v>0.45618500000000001</v>
      </c>
    </row>
    <row r="87" spans="1:10">
      <c r="A87" s="81"/>
      <c r="B87" s="76" t="s">
        <v>10</v>
      </c>
      <c r="C87" s="11" t="s">
        <v>10</v>
      </c>
      <c r="D87" s="11">
        <v>0.94883399999999996</v>
      </c>
      <c r="E87" s="11">
        <v>0.95426100000000003</v>
      </c>
      <c r="F87" s="11">
        <v>0.99090900000000004</v>
      </c>
      <c r="G87" s="11">
        <v>0.97223999999999999</v>
      </c>
      <c r="H87" s="11">
        <v>0.95019100000000001</v>
      </c>
      <c r="I87" s="11">
        <v>0.99380999999999997</v>
      </c>
      <c r="J87" s="23">
        <v>0.120439</v>
      </c>
    </row>
    <row r="88" spans="1:10">
      <c r="A88" s="81"/>
      <c r="B88" s="76" t="s">
        <v>10</v>
      </c>
      <c r="C88" s="40" t="s">
        <v>11</v>
      </c>
      <c r="D88" s="41">
        <v>0.42866700000000002</v>
      </c>
      <c r="E88" s="41">
        <v>0.45018599999999998</v>
      </c>
      <c r="F88" s="41">
        <v>0.64466699999999999</v>
      </c>
      <c r="G88" s="41">
        <v>0.53015400000000001</v>
      </c>
      <c r="H88" s="41">
        <v>0.437942</v>
      </c>
      <c r="I88" s="41">
        <v>0.47732599999999997</v>
      </c>
      <c r="J88" s="53">
        <v>0.54233299999999995</v>
      </c>
    </row>
    <row r="89" spans="1:10" ht="14.5" thickBot="1">
      <c r="A89" s="81"/>
      <c r="B89" s="77" t="s">
        <v>10</v>
      </c>
      <c r="C89" s="49" t="s">
        <v>12</v>
      </c>
      <c r="D89" s="50">
        <v>0.54545500000000002</v>
      </c>
      <c r="E89" s="50">
        <v>0.47698299999999999</v>
      </c>
      <c r="F89" s="50">
        <v>0.94471400000000005</v>
      </c>
      <c r="G89" s="50">
        <v>0.63390800000000003</v>
      </c>
      <c r="H89" s="50">
        <v>0.78311500000000001</v>
      </c>
      <c r="I89" s="50">
        <v>0.71491899999999997</v>
      </c>
      <c r="J89" s="54">
        <v>0.27838200000000002</v>
      </c>
    </row>
    <row r="90" spans="1:10">
      <c r="A90" s="81"/>
      <c r="B90" s="78" t="s">
        <v>11</v>
      </c>
      <c r="C90" s="45" t="s">
        <v>9</v>
      </c>
      <c r="D90" s="46">
        <v>0.755</v>
      </c>
      <c r="E90" s="46">
        <v>0.76393699999999998</v>
      </c>
      <c r="F90" s="46">
        <v>0.97444399999999998</v>
      </c>
      <c r="G90" s="46">
        <v>0.85644500000000001</v>
      </c>
      <c r="H90" s="46">
        <v>0.62361900000000003</v>
      </c>
      <c r="I90" s="46">
        <v>0.82022799999999996</v>
      </c>
      <c r="J90" s="69">
        <v>0.42103699999999999</v>
      </c>
    </row>
    <row r="91" spans="1:10" ht="14.5" thickBot="1">
      <c r="A91" s="81"/>
      <c r="B91" s="78" t="s">
        <v>11</v>
      </c>
      <c r="C91" s="42" t="s">
        <v>10</v>
      </c>
      <c r="D91" s="43">
        <v>0.88441499999999995</v>
      </c>
      <c r="E91" s="43">
        <v>0.90630900000000003</v>
      </c>
      <c r="F91" s="43">
        <v>0.97272700000000001</v>
      </c>
      <c r="G91" s="43">
        <v>0.93834499999999998</v>
      </c>
      <c r="H91" s="43">
        <v>0.51993699999999998</v>
      </c>
      <c r="I91" s="43">
        <v>0.90760200000000002</v>
      </c>
      <c r="J91" s="52">
        <v>0.49443100000000001</v>
      </c>
    </row>
    <row r="92" spans="1:10">
      <c r="A92" s="81"/>
      <c r="B92" s="78" t="s">
        <v>11</v>
      </c>
      <c r="C92" s="22" t="s">
        <v>11</v>
      </c>
      <c r="D92" s="11">
        <v>0.98266699999999996</v>
      </c>
      <c r="E92" s="11">
        <v>0.98460499999999995</v>
      </c>
      <c r="F92" s="11">
        <v>0.98066699999999996</v>
      </c>
      <c r="G92" s="11">
        <v>0.98263199999999995</v>
      </c>
      <c r="H92" s="11">
        <v>0.99859900000000001</v>
      </c>
      <c r="I92" s="11">
        <v>0.99865400000000004</v>
      </c>
      <c r="J92" s="23">
        <v>1.7666999999999999E-2</v>
      </c>
    </row>
    <row r="93" spans="1:10" ht="14.5" thickBot="1">
      <c r="A93" s="81"/>
      <c r="B93" s="79" t="s">
        <v>11</v>
      </c>
      <c r="C93" s="49" t="s">
        <v>12</v>
      </c>
      <c r="D93" s="50">
        <v>0.44565700000000003</v>
      </c>
      <c r="E93" s="50">
        <v>0.41938500000000001</v>
      </c>
      <c r="F93" s="50">
        <v>0.86033000000000004</v>
      </c>
      <c r="G93" s="50">
        <v>0.56389100000000003</v>
      </c>
      <c r="H93" s="50">
        <v>0.528227</v>
      </c>
      <c r="I93" s="50">
        <v>0.43273600000000001</v>
      </c>
      <c r="J93" s="54">
        <v>0.473159</v>
      </c>
    </row>
    <row r="94" spans="1:10">
      <c r="A94" s="81"/>
      <c r="B94" s="76" t="s">
        <v>12</v>
      </c>
      <c r="C94" s="45" t="s">
        <v>9</v>
      </c>
      <c r="D94" s="46">
        <v>0.38261099999999998</v>
      </c>
      <c r="E94" s="46">
        <v>0.74694799999999995</v>
      </c>
      <c r="F94" s="46">
        <v>0.26740700000000001</v>
      </c>
      <c r="G94" s="46">
        <v>0.39382499999999998</v>
      </c>
      <c r="H94" s="46">
        <v>0.46611599999999997</v>
      </c>
      <c r="I94" s="46">
        <v>0.74202800000000002</v>
      </c>
      <c r="J94" s="69">
        <v>0.52529599999999999</v>
      </c>
    </row>
    <row r="95" spans="1:10">
      <c r="A95" s="81"/>
      <c r="B95" s="76" t="s">
        <v>12</v>
      </c>
      <c r="C95" s="42" t="s">
        <v>10</v>
      </c>
      <c r="D95" s="43">
        <v>0.23553099999999999</v>
      </c>
      <c r="E95" s="43">
        <v>0.98827699999999996</v>
      </c>
      <c r="F95" s="43">
        <v>0.15640100000000001</v>
      </c>
      <c r="G95" s="43">
        <v>0.27006200000000002</v>
      </c>
      <c r="H95" s="43">
        <v>0.71006599999999997</v>
      </c>
      <c r="I95" s="43">
        <v>0.95599299999999998</v>
      </c>
      <c r="J95" s="52">
        <v>0.353877</v>
      </c>
    </row>
    <row r="96" spans="1:10" ht="14.5" thickBot="1">
      <c r="A96" s="81"/>
      <c r="B96" s="76" t="s">
        <v>12</v>
      </c>
      <c r="C96" s="40" t="s">
        <v>11</v>
      </c>
      <c r="D96" s="41">
        <v>0.41166700000000001</v>
      </c>
      <c r="E96" s="41">
        <v>0.38367000000000001</v>
      </c>
      <c r="F96" s="41">
        <v>0.29133300000000001</v>
      </c>
      <c r="G96" s="41">
        <v>0.33118599999999998</v>
      </c>
      <c r="H96" s="41">
        <v>0.36916700000000002</v>
      </c>
      <c r="I96" s="41">
        <v>0.42511399999999999</v>
      </c>
      <c r="J96" s="53">
        <v>0.59366699999999994</v>
      </c>
    </row>
    <row r="97" spans="1:10" ht="14.5" thickBot="1">
      <c r="A97" s="82"/>
      <c r="B97" s="77" t="s">
        <v>12</v>
      </c>
      <c r="C97" s="22" t="s">
        <v>12</v>
      </c>
      <c r="D97" s="11">
        <v>0.88767700000000005</v>
      </c>
      <c r="E97" s="11">
        <v>0.854186</v>
      </c>
      <c r="F97" s="11">
        <v>0.88069799999999998</v>
      </c>
      <c r="G97" s="11">
        <v>0.86724000000000001</v>
      </c>
      <c r="H97" s="11">
        <v>0.96020300000000003</v>
      </c>
      <c r="I97" s="11">
        <v>0.94979400000000003</v>
      </c>
      <c r="J97" s="23">
        <v>0.114359</v>
      </c>
    </row>
    <row r="98" spans="1:10">
      <c r="A98" s="70" t="s">
        <v>46</v>
      </c>
      <c r="B98" s="73" t="s">
        <v>9</v>
      </c>
      <c r="C98" s="22" t="s">
        <v>9</v>
      </c>
      <c r="D98" s="11">
        <v>0.793489</v>
      </c>
      <c r="E98" s="11">
        <v>0.91030299999999997</v>
      </c>
      <c r="F98" s="11">
        <v>0.80386999999999997</v>
      </c>
      <c r="G98" s="11">
        <v>0.85361900000000002</v>
      </c>
      <c r="H98" s="11">
        <v>0.85377099999999995</v>
      </c>
      <c r="I98" s="11">
        <v>0.93728500000000003</v>
      </c>
      <c r="J98" s="23">
        <v>0.212452</v>
      </c>
    </row>
    <row r="99" spans="1:10">
      <c r="A99" s="71"/>
      <c r="B99" s="74" t="s">
        <v>9</v>
      </c>
      <c r="C99" s="42" t="s">
        <v>10</v>
      </c>
      <c r="D99" s="43">
        <v>0.47173300000000001</v>
      </c>
      <c r="E99" s="43">
        <v>0.90968899999999997</v>
      </c>
      <c r="F99" s="43">
        <v>0.46159600000000001</v>
      </c>
      <c r="G99" s="43">
        <v>0.61243099999999995</v>
      </c>
      <c r="H99" s="43">
        <v>0.525532</v>
      </c>
      <c r="I99" s="43">
        <v>0.90549599999999997</v>
      </c>
      <c r="J99" s="52">
        <v>0.48277599999999998</v>
      </c>
    </row>
    <row r="100" spans="1:10">
      <c r="A100" s="71"/>
      <c r="B100" s="74" t="s">
        <v>9</v>
      </c>
      <c r="C100" s="40" t="s">
        <v>11</v>
      </c>
      <c r="D100" s="41">
        <v>0.52900000000000003</v>
      </c>
      <c r="E100" s="41">
        <v>0.52269200000000005</v>
      </c>
      <c r="F100" s="41">
        <v>0.66800000000000004</v>
      </c>
      <c r="G100" s="41">
        <v>0.58647899999999997</v>
      </c>
      <c r="H100" s="41">
        <v>0.52268400000000004</v>
      </c>
      <c r="I100" s="41">
        <v>0.51280199999999998</v>
      </c>
      <c r="J100" s="53">
        <v>0.48766700000000002</v>
      </c>
    </row>
    <row r="101" spans="1:10" ht="14.5" thickBot="1">
      <c r="A101" s="71"/>
      <c r="B101" s="74" t="s">
        <v>9</v>
      </c>
      <c r="C101" s="55" t="s">
        <v>12</v>
      </c>
      <c r="D101" s="56">
        <v>0.566465</v>
      </c>
      <c r="E101" s="56">
        <v>0.48205100000000001</v>
      </c>
      <c r="F101" s="56">
        <v>0.54704200000000003</v>
      </c>
      <c r="G101" s="56">
        <v>0.51249400000000001</v>
      </c>
      <c r="H101" s="56">
        <v>0.57616299999999998</v>
      </c>
      <c r="I101" s="56">
        <v>0.47075600000000001</v>
      </c>
      <c r="J101" s="68">
        <v>0.43353900000000001</v>
      </c>
    </row>
    <row r="102" spans="1:10" ht="14.5" thickBot="1">
      <c r="A102" s="71"/>
      <c r="B102" s="75" t="s">
        <v>10</v>
      </c>
      <c r="C102" s="47" t="s">
        <v>9</v>
      </c>
      <c r="D102" s="48">
        <v>0.55005599999999999</v>
      </c>
      <c r="E102" s="48">
        <v>0.82500899999999999</v>
      </c>
      <c r="F102" s="48">
        <v>0.50777799999999995</v>
      </c>
      <c r="G102" s="48">
        <v>0.62863999999999998</v>
      </c>
      <c r="H102" s="48">
        <v>0.61633499999999997</v>
      </c>
      <c r="I102" s="48">
        <v>0.83372500000000005</v>
      </c>
      <c r="J102" s="51">
        <v>0.40840700000000002</v>
      </c>
    </row>
    <row r="103" spans="1:10">
      <c r="A103" s="71"/>
      <c r="B103" s="76" t="s">
        <v>10</v>
      </c>
      <c r="C103" s="22" t="s">
        <v>10</v>
      </c>
      <c r="D103" s="11">
        <v>0.92702600000000002</v>
      </c>
      <c r="E103" s="11">
        <v>0.92722899999999997</v>
      </c>
      <c r="F103" s="11">
        <v>0.99758800000000003</v>
      </c>
      <c r="G103" s="11">
        <v>0.96112299999999995</v>
      </c>
      <c r="H103" s="11">
        <v>0.93797600000000003</v>
      </c>
      <c r="I103" s="11">
        <v>0.99225600000000003</v>
      </c>
      <c r="J103" s="23">
        <v>0.14189299999999999</v>
      </c>
    </row>
    <row r="104" spans="1:10">
      <c r="A104" s="71"/>
      <c r="B104" s="76" t="s">
        <v>10</v>
      </c>
      <c r="C104" s="40" t="s">
        <v>11</v>
      </c>
      <c r="D104" s="41">
        <v>0.46800000000000003</v>
      </c>
      <c r="E104" s="41">
        <v>0.48014899999999999</v>
      </c>
      <c r="F104" s="41">
        <v>0.77400000000000002</v>
      </c>
      <c r="G104" s="41">
        <v>0.59264899999999998</v>
      </c>
      <c r="H104" s="41">
        <v>0.43593799999999999</v>
      </c>
      <c r="I104" s="41">
        <v>0.46856599999999998</v>
      </c>
      <c r="J104" s="53">
        <v>0.56033299999999997</v>
      </c>
    </row>
    <row r="105" spans="1:10" ht="14.5" thickBot="1">
      <c r="A105" s="71"/>
      <c r="B105" s="77" t="s">
        <v>10</v>
      </c>
      <c r="C105" s="49" t="s">
        <v>12</v>
      </c>
      <c r="D105" s="50">
        <v>0.55959599999999998</v>
      </c>
      <c r="E105" s="50">
        <v>0.48352899999999999</v>
      </c>
      <c r="F105" s="50">
        <v>0.83996099999999996</v>
      </c>
      <c r="G105" s="50">
        <v>0.61374899999999999</v>
      </c>
      <c r="H105" s="50">
        <v>0.70848699999999998</v>
      </c>
      <c r="I105" s="50">
        <v>0.61626099999999995</v>
      </c>
      <c r="J105" s="54">
        <v>0.32437500000000002</v>
      </c>
    </row>
    <row r="106" spans="1:10">
      <c r="A106" s="71"/>
      <c r="B106" s="78" t="s">
        <v>11</v>
      </c>
      <c r="C106" s="45" t="s">
        <v>9</v>
      </c>
      <c r="D106" s="46">
        <v>0.60255599999999998</v>
      </c>
      <c r="E106" s="46">
        <v>0.74403900000000001</v>
      </c>
      <c r="F106" s="46">
        <v>0.71659300000000004</v>
      </c>
      <c r="G106" s="46">
        <v>0.73005799999999998</v>
      </c>
      <c r="H106" s="46">
        <v>0.484122</v>
      </c>
      <c r="I106" s="46">
        <v>0.75404099999999996</v>
      </c>
      <c r="J106" s="69">
        <v>0.52063000000000004</v>
      </c>
    </row>
    <row r="107" spans="1:10" ht="14.5" thickBot="1">
      <c r="A107" s="71"/>
      <c r="B107" s="78" t="s">
        <v>11</v>
      </c>
      <c r="C107" s="42" t="s">
        <v>10</v>
      </c>
      <c r="D107" s="43">
        <v>0.75960399999999995</v>
      </c>
      <c r="E107" s="43">
        <v>0.90287099999999998</v>
      </c>
      <c r="F107" s="43">
        <v>0.82263500000000001</v>
      </c>
      <c r="G107" s="43">
        <v>0.86088699999999996</v>
      </c>
      <c r="H107" s="43">
        <v>0.47145900000000002</v>
      </c>
      <c r="I107" s="43">
        <v>0.89276999999999995</v>
      </c>
      <c r="J107" s="52">
        <v>0.51874900000000002</v>
      </c>
    </row>
    <row r="108" spans="1:10">
      <c r="A108" s="71"/>
      <c r="B108" s="78" t="s">
        <v>11</v>
      </c>
      <c r="C108" s="22" t="s">
        <v>11</v>
      </c>
      <c r="D108" s="11">
        <v>0.97699999999999998</v>
      </c>
      <c r="E108" s="11">
        <v>0.98181799999999997</v>
      </c>
      <c r="F108" s="11">
        <v>0.97199999999999998</v>
      </c>
      <c r="G108" s="11">
        <v>0.97688399999999997</v>
      </c>
      <c r="H108" s="11">
        <v>0.99660199999999999</v>
      </c>
      <c r="I108" s="11">
        <v>0.997174</v>
      </c>
      <c r="J108" s="23">
        <v>2.2667E-2</v>
      </c>
    </row>
    <row r="109" spans="1:10" ht="14.5" thickBot="1">
      <c r="A109" s="71"/>
      <c r="B109" s="79" t="s">
        <v>11</v>
      </c>
      <c r="C109" s="49" t="s">
        <v>12</v>
      </c>
      <c r="D109" s="50">
        <v>0.41939399999999999</v>
      </c>
      <c r="E109" s="50">
        <v>0.41009699999999999</v>
      </c>
      <c r="F109" s="50">
        <v>0.89815699999999998</v>
      </c>
      <c r="G109" s="50">
        <v>0.56308899999999995</v>
      </c>
      <c r="H109" s="50">
        <v>0.45708799999999999</v>
      </c>
      <c r="I109" s="50">
        <v>0.38239400000000001</v>
      </c>
      <c r="J109" s="54">
        <v>0.52365499999999998</v>
      </c>
    </row>
    <row r="110" spans="1:10">
      <c r="A110" s="71"/>
      <c r="B110" s="76" t="s">
        <v>12</v>
      </c>
      <c r="C110" s="45" t="s">
        <v>9</v>
      </c>
      <c r="D110" s="46">
        <v>0.38122200000000001</v>
      </c>
      <c r="E110" s="46">
        <v>0.73339900000000002</v>
      </c>
      <c r="F110" s="46">
        <v>0.27488899999999999</v>
      </c>
      <c r="G110" s="46">
        <v>0.39989200000000003</v>
      </c>
      <c r="H110" s="46">
        <v>0.45180799999999999</v>
      </c>
      <c r="I110" s="46">
        <v>0.72934500000000002</v>
      </c>
      <c r="J110" s="69">
        <v>0.54192600000000002</v>
      </c>
    </row>
    <row r="111" spans="1:10">
      <c r="A111" s="71"/>
      <c r="B111" s="76" t="s">
        <v>12</v>
      </c>
      <c r="C111" s="42" t="s">
        <v>10</v>
      </c>
      <c r="D111" s="43">
        <v>0.233518</v>
      </c>
      <c r="E111" s="43">
        <v>0.94765500000000003</v>
      </c>
      <c r="F111" s="43">
        <v>0.16122400000000001</v>
      </c>
      <c r="G111" s="43">
        <v>0.27556700000000001</v>
      </c>
      <c r="H111" s="43">
        <v>0.63158000000000003</v>
      </c>
      <c r="I111" s="43">
        <v>0.93615400000000004</v>
      </c>
      <c r="J111" s="52">
        <v>0.40440999999999999</v>
      </c>
    </row>
    <row r="112" spans="1:10" ht="14.5" thickBot="1">
      <c r="A112" s="71"/>
      <c r="B112" s="76" t="s">
        <v>12</v>
      </c>
      <c r="C112" s="40" t="s">
        <v>11</v>
      </c>
      <c r="D112" s="41">
        <v>0.42266700000000001</v>
      </c>
      <c r="E112" s="41">
        <v>0.452459</v>
      </c>
      <c r="F112" s="41">
        <v>0.73599999999999999</v>
      </c>
      <c r="G112" s="41">
        <v>0.56040599999999996</v>
      </c>
      <c r="H112" s="41">
        <v>0.35537800000000003</v>
      </c>
      <c r="I112" s="41">
        <v>0.41544199999999998</v>
      </c>
      <c r="J112" s="53">
        <v>0.61366699999999996</v>
      </c>
    </row>
    <row r="113" spans="1:10" ht="14.5" thickBot="1">
      <c r="A113" s="72"/>
      <c r="B113" s="77" t="s">
        <v>12</v>
      </c>
      <c r="C113" s="22" t="s">
        <v>12</v>
      </c>
      <c r="D113" s="97">
        <v>0.86828300000000003</v>
      </c>
      <c r="E113" s="97">
        <v>0.77304399999999995</v>
      </c>
      <c r="F113" s="97">
        <v>0.96799199999999996</v>
      </c>
      <c r="G113" s="97">
        <v>0.85960400000000003</v>
      </c>
      <c r="H113" s="97">
        <v>0.97433700000000001</v>
      </c>
      <c r="I113" s="97">
        <v>0.96711899999999995</v>
      </c>
      <c r="J113" s="23">
        <v>9.2955999999999997E-2</v>
      </c>
    </row>
    <row r="114" spans="1:10">
      <c r="A114" s="70" t="s">
        <v>47</v>
      </c>
      <c r="B114" s="73" t="s">
        <v>9</v>
      </c>
      <c r="C114" s="22" t="s">
        <v>9</v>
      </c>
      <c r="D114" s="11">
        <v>0.80043299999999995</v>
      </c>
      <c r="E114" s="11">
        <v>0.93154000000000003</v>
      </c>
      <c r="F114" s="11">
        <v>0.79213999999999996</v>
      </c>
      <c r="G114" s="11">
        <v>0.85655099999999995</v>
      </c>
      <c r="H114" s="11">
        <v>0.88633899999999999</v>
      </c>
      <c r="I114" s="11">
        <v>0.95823700000000001</v>
      </c>
      <c r="J114" s="23">
        <v>0.194941</v>
      </c>
    </row>
    <row r="115" spans="1:10">
      <c r="A115" s="71"/>
      <c r="B115" s="74" t="s">
        <v>9</v>
      </c>
      <c r="C115" s="42" t="s">
        <v>10</v>
      </c>
      <c r="D115" s="43">
        <v>0.538165</v>
      </c>
      <c r="E115" s="43">
        <v>0.94954000000000005</v>
      </c>
      <c r="F115" s="43">
        <v>0.51669799999999999</v>
      </c>
      <c r="G115" s="43">
        <v>0.66922999999999999</v>
      </c>
      <c r="H115" s="43">
        <v>0.68824799999999997</v>
      </c>
      <c r="I115" s="43">
        <v>0.94984400000000002</v>
      </c>
      <c r="J115" s="52">
        <v>0.36525299999999999</v>
      </c>
    </row>
    <row r="116" spans="1:10">
      <c r="A116" s="71"/>
      <c r="B116" s="74" t="s">
        <v>9</v>
      </c>
      <c r="C116" s="40" t="s">
        <v>11</v>
      </c>
      <c r="D116" s="41">
        <v>0.52533300000000005</v>
      </c>
      <c r="E116" s="41">
        <v>0.54896900000000004</v>
      </c>
      <c r="F116" s="41">
        <v>0.28399999999999997</v>
      </c>
      <c r="G116" s="41">
        <v>0.37434099999999998</v>
      </c>
      <c r="H116" s="41">
        <v>0.53066000000000002</v>
      </c>
      <c r="I116" s="41">
        <v>0.52677300000000005</v>
      </c>
      <c r="J116" s="53">
        <v>0.47699999999999998</v>
      </c>
    </row>
    <row r="117" spans="1:10" ht="14.5" thickBot="1">
      <c r="A117" s="71"/>
      <c r="B117" s="74" t="s">
        <v>9</v>
      </c>
      <c r="C117" s="55" t="s">
        <v>12</v>
      </c>
      <c r="D117" s="56">
        <v>0.56686899999999996</v>
      </c>
      <c r="E117" s="56">
        <v>0.47550799999999999</v>
      </c>
      <c r="F117" s="56">
        <v>0.38603300000000002</v>
      </c>
      <c r="G117" s="56">
        <v>0.426124</v>
      </c>
      <c r="H117" s="56">
        <v>0.55738699999999997</v>
      </c>
      <c r="I117" s="56">
        <v>0.47729700000000003</v>
      </c>
      <c r="J117" s="68">
        <v>0.452102</v>
      </c>
    </row>
    <row r="118" spans="1:10">
      <c r="A118" s="71"/>
      <c r="B118" s="75" t="s">
        <v>10</v>
      </c>
      <c r="C118" s="47" t="s">
        <v>9</v>
      </c>
      <c r="D118" s="48">
        <v>0.56272200000000006</v>
      </c>
      <c r="E118" s="48">
        <v>0.82384100000000005</v>
      </c>
      <c r="F118" s="48">
        <v>0.53037000000000001</v>
      </c>
      <c r="G118" s="48">
        <v>0.64530699999999996</v>
      </c>
      <c r="H118" s="48">
        <v>0.62361200000000006</v>
      </c>
      <c r="I118" s="48">
        <v>0.842692</v>
      </c>
      <c r="J118" s="51">
        <v>0.41218500000000002</v>
      </c>
    </row>
    <row r="119" spans="1:10">
      <c r="A119" s="71"/>
      <c r="B119" s="76" t="s">
        <v>10</v>
      </c>
      <c r="C119" s="98" t="s">
        <v>10</v>
      </c>
      <c r="D119" s="99">
        <v>0.95738999999999996</v>
      </c>
      <c r="E119" s="99">
        <v>0.95612799999999998</v>
      </c>
      <c r="F119" s="99">
        <v>0.99870099999999995</v>
      </c>
      <c r="G119" s="99">
        <v>0.97695100000000001</v>
      </c>
      <c r="H119" s="99">
        <v>0.98453900000000005</v>
      </c>
      <c r="I119" s="99">
        <v>0.998116</v>
      </c>
      <c r="J119" s="100">
        <v>5.4604E-2</v>
      </c>
    </row>
    <row r="120" spans="1:10">
      <c r="A120" s="71"/>
      <c r="B120" s="76" t="s">
        <v>10</v>
      </c>
      <c r="C120" s="40" t="s">
        <v>11</v>
      </c>
      <c r="D120" s="41">
        <v>0.48099999999999998</v>
      </c>
      <c r="E120" s="41">
        <v>0.48801</v>
      </c>
      <c r="F120" s="41">
        <v>0.77333300000000005</v>
      </c>
      <c r="G120" s="41">
        <v>0.59840099999999996</v>
      </c>
      <c r="H120" s="41">
        <v>0.459034</v>
      </c>
      <c r="I120" s="41">
        <v>0.47058100000000003</v>
      </c>
      <c r="J120" s="53">
        <v>0.52933300000000005</v>
      </c>
    </row>
    <row r="121" spans="1:10" ht="14.5" thickBot="1">
      <c r="A121" s="71"/>
      <c r="B121" s="77" t="s">
        <v>10</v>
      </c>
      <c r="C121" s="49" t="s">
        <v>12</v>
      </c>
      <c r="D121" s="50">
        <v>0.672323</v>
      </c>
      <c r="E121" s="50">
        <v>0.56953200000000004</v>
      </c>
      <c r="F121" s="50">
        <v>0.87390900000000005</v>
      </c>
      <c r="G121" s="50">
        <v>0.68962900000000005</v>
      </c>
      <c r="H121" s="50">
        <v>0.82668900000000001</v>
      </c>
      <c r="I121" s="50">
        <v>0.78572600000000004</v>
      </c>
      <c r="J121" s="54">
        <v>0.25448500000000002</v>
      </c>
    </row>
    <row r="122" spans="1:10">
      <c r="A122" s="71"/>
      <c r="B122" s="78" t="s">
        <v>11</v>
      </c>
      <c r="C122" s="45" t="s">
        <v>9</v>
      </c>
      <c r="D122" s="46">
        <v>0.73533300000000001</v>
      </c>
      <c r="E122" s="46">
        <v>0.76083800000000001</v>
      </c>
      <c r="F122" s="46">
        <v>0.94377800000000001</v>
      </c>
      <c r="G122" s="46">
        <v>0.84249200000000002</v>
      </c>
      <c r="H122" s="46">
        <v>0.61191799999999996</v>
      </c>
      <c r="I122" s="46">
        <v>0.81152800000000003</v>
      </c>
      <c r="J122" s="69">
        <v>0.41718499999999997</v>
      </c>
    </row>
    <row r="123" spans="1:10" ht="14.5" thickBot="1">
      <c r="A123" s="71"/>
      <c r="B123" s="78" t="s">
        <v>11</v>
      </c>
      <c r="C123" s="42" t="s">
        <v>10</v>
      </c>
      <c r="D123" s="43">
        <v>0.73695699999999997</v>
      </c>
      <c r="E123" s="43">
        <v>0.90130200000000005</v>
      </c>
      <c r="F123" s="43">
        <v>0.79628900000000002</v>
      </c>
      <c r="G123" s="43">
        <v>0.84554799999999997</v>
      </c>
      <c r="H123" s="43">
        <v>0.46743400000000002</v>
      </c>
      <c r="I123" s="43">
        <v>0.89363099999999995</v>
      </c>
      <c r="J123" s="52">
        <v>0.52008900000000002</v>
      </c>
    </row>
    <row r="124" spans="1:10">
      <c r="A124" s="71"/>
      <c r="B124" s="78" t="s">
        <v>11</v>
      </c>
      <c r="C124" s="22" t="s">
        <v>11</v>
      </c>
      <c r="D124" s="11">
        <v>0.98799999999999999</v>
      </c>
      <c r="E124" s="11">
        <v>0.98995999999999995</v>
      </c>
      <c r="F124" s="11">
        <v>0.98599999999999999</v>
      </c>
      <c r="G124" s="11">
        <v>0.98797599999999997</v>
      </c>
      <c r="H124" s="11">
        <v>0.99835700000000005</v>
      </c>
      <c r="I124" s="11">
        <v>0.99848899999999996</v>
      </c>
      <c r="J124" s="23">
        <v>0.01</v>
      </c>
    </row>
    <row r="125" spans="1:10" ht="14.5" thickBot="1">
      <c r="A125" s="71"/>
      <c r="B125" s="79" t="s">
        <v>11</v>
      </c>
      <c r="C125" s="49" t="s">
        <v>12</v>
      </c>
      <c r="D125" s="50">
        <v>0.460202</v>
      </c>
      <c r="E125" s="50">
        <v>0.42513499999999999</v>
      </c>
      <c r="F125" s="50">
        <v>0.83996099999999996</v>
      </c>
      <c r="G125" s="50">
        <v>0.56453699999999996</v>
      </c>
      <c r="H125" s="50">
        <v>0.49715199999999998</v>
      </c>
      <c r="I125" s="50">
        <v>0.409721</v>
      </c>
      <c r="J125" s="54">
        <v>0.50141999999999998</v>
      </c>
    </row>
    <row r="126" spans="1:10">
      <c r="A126" s="71"/>
      <c r="B126" s="76" t="s">
        <v>12</v>
      </c>
      <c r="C126" s="45" t="s">
        <v>9</v>
      </c>
      <c r="D126" s="46">
        <v>0.49411100000000002</v>
      </c>
      <c r="E126" s="46">
        <v>0.730487</v>
      </c>
      <c r="F126" s="46">
        <v>0.51577799999999996</v>
      </c>
      <c r="G126" s="46">
        <v>0.60463699999999998</v>
      </c>
      <c r="H126" s="46">
        <v>0.46240199999999998</v>
      </c>
      <c r="I126" s="46">
        <v>0.73008700000000004</v>
      </c>
      <c r="J126" s="69">
        <v>0.52200000000000002</v>
      </c>
    </row>
    <row r="127" spans="1:10">
      <c r="A127" s="71"/>
      <c r="B127" s="76" t="s">
        <v>12</v>
      </c>
      <c r="C127" s="42" t="s">
        <v>10</v>
      </c>
      <c r="D127" s="43">
        <v>0.39573900000000001</v>
      </c>
      <c r="E127" s="43">
        <v>0.97705399999999998</v>
      </c>
      <c r="F127" s="43">
        <v>0.33970299999999998</v>
      </c>
      <c r="G127" s="43">
        <v>0.50412999999999997</v>
      </c>
      <c r="H127" s="43">
        <v>0.71973699999999996</v>
      </c>
      <c r="I127" s="43">
        <v>0.95866300000000004</v>
      </c>
      <c r="J127" s="52">
        <v>0.33270100000000002</v>
      </c>
    </row>
    <row r="128" spans="1:10" ht="14.5" thickBot="1">
      <c r="A128" s="71"/>
      <c r="B128" s="76" t="s">
        <v>12</v>
      </c>
      <c r="C128" s="40" t="s">
        <v>11</v>
      </c>
      <c r="D128" s="41">
        <v>0.44633299999999998</v>
      </c>
      <c r="E128" s="41">
        <v>0.46731600000000001</v>
      </c>
      <c r="F128" s="41">
        <v>0.76733300000000004</v>
      </c>
      <c r="G128" s="41">
        <v>0.58087299999999997</v>
      </c>
      <c r="H128" s="41">
        <v>0.36751400000000001</v>
      </c>
      <c r="I128" s="41">
        <v>0.41173500000000002</v>
      </c>
      <c r="J128" s="53">
        <v>0.59166700000000005</v>
      </c>
    </row>
    <row r="129" spans="1:10" ht="14.5" thickBot="1">
      <c r="A129" s="72"/>
      <c r="B129" s="77" t="s">
        <v>12</v>
      </c>
      <c r="C129" s="22" t="s">
        <v>12</v>
      </c>
      <c r="D129" s="28">
        <v>0.87797999999999998</v>
      </c>
      <c r="E129" s="28">
        <v>0.79561999999999999</v>
      </c>
      <c r="F129" s="28">
        <v>0.95150299999999999</v>
      </c>
      <c r="G129" s="28">
        <v>0.86660800000000004</v>
      </c>
      <c r="H129" s="28">
        <v>0.968198</v>
      </c>
      <c r="I129" s="28">
        <v>0.96070299999999997</v>
      </c>
      <c r="J129" s="29">
        <v>9.4132999999999994E-2</v>
      </c>
    </row>
    <row r="130" spans="1:10">
      <c r="A130" s="70" t="s">
        <v>48</v>
      </c>
      <c r="B130" s="73" t="s">
        <v>9</v>
      </c>
      <c r="C130" s="22" t="s">
        <v>9</v>
      </c>
      <c r="D130" s="11">
        <v>0.81933299999999998</v>
      </c>
      <c r="E130" s="11">
        <v>0.92575200000000002</v>
      </c>
      <c r="F130" s="11">
        <v>0.825407</v>
      </c>
      <c r="G130" s="11">
        <v>0.87275999999999998</v>
      </c>
      <c r="H130" s="11">
        <v>0.88534100000000004</v>
      </c>
      <c r="I130" s="11">
        <v>0.95827200000000001</v>
      </c>
      <c r="J130" s="23">
        <v>0.18618499999999999</v>
      </c>
    </row>
    <row r="131" spans="1:10">
      <c r="A131" s="71"/>
      <c r="B131" s="74" t="s">
        <v>9</v>
      </c>
      <c r="C131" s="42" t="s">
        <v>10</v>
      </c>
      <c r="D131" s="43">
        <v>0.774702</v>
      </c>
      <c r="E131" s="43">
        <v>0.93525499999999995</v>
      </c>
      <c r="F131" s="43">
        <v>0.80667900000000003</v>
      </c>
      <c r="G131" s="43">
        <v>0.86622200000000005</v>
      </c>
      <c r="H131" s="43">
        <v>0.72725200000000001</v>
      </c>
      <c r="I131" s="43">
        <v>0.95891099999999996</v>
      </c>
      <c r="J131" s="52">
        <v>0.33126899999999998</v>
      </c>
    </row>
    <row r="132" spans="1:10">
      <c r="A132" s="71"/>
      <c r="B132" s="74" t="s">
        <v>9</v>
      </c>
      <c r="C132" s="40" t="s">
        <v>11</v>
      </c>
      <c r="D132" s="41">
        <v>0.52633300000000005</v>
      </c>
      <c r="E132" s="41">
        <v>0.54545500000000002</v>
      </c>
      <c r="F132" s="41">
        <v>0.316</v>
      </c>
      <c r="G132" s="41">
        <v>0.400169</v>
      </c>
      <c r="H132" s="41">
        <v>0.53398500000000004</v>
      </c>
      <c r="I132" s="41">
        <v>0.52897099999999997</v>
      </c>
      <c r="J132" s="53">
        <v>0.48333300000000001</v>
      </c>
    </row>
    <row r="133" spans="1:10" ht="14.5" thickBot="1">
      <c r="A133" s="71"/>
      <c r="B133" s="74" t="s">
        <v>9</v>
      </c>
      <c r="C133" s="49" t="s">
        <v>12</v>
      </c>
      <c r="D133" s="50">
        <v>0.53010100000000004</v>
      </c>
      <c r="E133" s="50">
        <v>0.44923099999999999</v>
      </c>
      <c r="F133" s="50">
        <v>0.56644000000000005</v>
      </c>
      <c r="G133" s="50">
        <v>0.50107299999999999</v>
      </c>
      <c r="H133" s="50">
        <v>0.54225900000000005</v>
      </c>
      <c r="I133" s="50">
        <v>0.466339</v>
      </c>
      <c r="J133" s="54">
        <v>0.45861299999999999</v>
      </c>
    </row>
    <row r="134" spans="1:10" ht="14.5" thickBot="1">
      <c r="A134" s="71"/>
      <c r="B134" s="75" t="s">
        <v>10</v>
      </c>
      <c r="C134" s="45" t="s">
        <v>9</v>
      </c>
      <c r="D134" s="46">
        <v>0.54600000000000004</v>
      </c>
      <c r="E134" s="46">
        <v>0.79905700000000002</v>
      </c>
      <c r="F134" s="46">
        <v>0.52725900000000003</v>
      </c>
      <c r="G134" s="46">
        <v>0.63530900000000001</v>
      </c>
      <c r="H134" s="46">
        <v>0.58825099999999997</v>
      </c>
      <c r="I134" s="46">
        <v>0.81187200000000004</v>
      </c>
      <c r="J134" s="69">
        <v>0.43514799999999998</v>
      </c>
    </row>
    <row r="135" spans="1:10">
      <c r="A135" s="71"/>
      <c r="B135" s="76" t="s">
        <v>10</v>
      </c>
      <c r="C135" s="22" t="s">
        <v>10</v>
      </c>
      <c r="D135" s="11">
        <v>0.974333</v>
      </c>
      <c r="E135" s="11">
        <v>0.97531299999999999</v>
      </c>
      <c r="F135" s="11">
        <v>0.99684600000000001</v>
      </c>
      <c r="G135" s="11">
        <v>0.98596200000000001</v>
      </c>
      <c r="H135" s="11">
        <v>0.99001399999999995</v>
      </c>
      <c r="I135" s="11">
        <v>0.99882899999999997</v>
      </c>
      <c r="J135" s="23">
        <v>4.5123000000000003E-2</v>
      </c>
    </row>
    <row r="136" spans="1:10">
      <c r="A136" s="71"/>
      <c r="B136" s="76" t="s">
        <v>10</v>
      </c>
      <c r="C136" s="40" t="s">
        <v>11</v>
      </c>
      <c r="D136" s="41">
        <v>0.43266700000000002</v>
      </c>
      <c r="E136" s="41">
        <v>0.458368</v>
      </c>
      <c r="F136" s="41">
        <v>0.74133300000000002</v>
      </c>
      <c r="G136" s="41">
        <v>0.56647999999999998</v>
      </c>
      <c r="H136" s="41">
        <v>0.40952899999999998</v>
      </c>
      <c r="I136" s="41">
        <v>0.44866499999999998</v>
      </c>
      <c r="J136" s="53">
        <v>0.55700000000000005</v>
      </c>
    </row>
    <row r="137" spans="1:10" ht="14.5" thickBot="1">
      <c r="A137" s="71"/>
      <c r="B137" s="77" t="s">
        <v>10</v>
      </c>
      <c r="C137" s="49" t="s">
        <v>12</v>
      </c>
      <c r="D137" s="50">
        <v>0.61899000000000004</v>
      </c>
      <c r="E137" s="50">
        <v>0.52436300000000002</v>
      </c>
      <c r="F137" s="50">
        <v>0.91852599999999995</v>
      </c>
      <c r="G137" s="50">
        <v>0.66760699999999995</v>
      </c>
      <c r="H137" s="50">
        <v>0.84624500000000002</v>
      </c>
      <c r="I137" s="50">
        <v>0.82674599999999998</v>
      </c>
      <c r="J137" s="54">
        <v>0.221861</v>
      </c>
    </row>
    <row r="138" spans="1:10">
      <c r="A138" s="71"/>
      <c r="B138" s="78" t="s">
        <v>11</v>
      </c>
      <c r="C138" s="45" t="s">
        <v>9</v>
      </c>
      <c r="D138" s="46">
        <v>0.73416700000000001</v>
      </c>
      <c r="E138" s="46">
        <v>0.76649699999999998</v>
      </c>
      <c r="F138" s="46">
        <v>0.92837000000000003</v>
      </c>
      <c r="G138" s="46">
        <v>0.83970400000000001</v>
      </c>
      <c r="H138" s="46">
        <v>0.58846699999999996</v>
      </c>
      <c r="I138" s="46">
        <v>0.80067100000000002</v>
      </c>
      <c r="J138" s="69">
        <v>0.43740699999999999</v>
      </c>
    </row>
    <row r="139" spans="1:10" ht="14.5" thickBot="1">
      <c r="A139" s="71"/>
      <c r="B139" s="78" t="s">
        <v>11</v>
      </c>
      <c r="C139" s="42" t="s">
        <v>10</v>
      </c>
      <c r="D139" s="43">
        <v>0.84516000000000002</v>
      </c>
      <c r="E139" s="43">
        <v>0.90279500000000001</v>
      </c>
      <c r="F139" s="43">
        <v>0.92875700000000005</v>
      </c>
      <c r="G139" s="43">
        <v>0.91559199999999996</v>
      </c>
      <c r="H139" s="43">
        <v>0.52044000000000001</v>
      </c>
      <c r="I139" s="43">
        <v>0.91368000000000005</v>
      </c>
      <c r="J139" s="52">
        <v>0.47593400000000002</v>
      </c>
    </row>
    <row r="140" spans="1:10">
      <c r="A140" s="71"/>
      <c r="B140" s="78" t="s">
        <v>11</v>
      </c>
      <c r="C140" s="22" t="s">
        <v>11</v>
      </c>
      <c r="D140" s="11">
        <v>0.99066699999999996</v>
      </c>
      <c r="E140" s="11">
        <v>0.98871200000000004</v>
      </c>
      <c r="F140" s="11">
        <v>0.99266699999999997</v>
      </c>
      <c r="G140" s="11">
        <v>0.99068500000000004</v>
      </c>
      <c r="H140" s="11">
        <v>0.99782999999999999</v>
      </c>
      <c r="I140" s="11">
        <v>0.99501600000000001</v>
      </c>
      <c r="J140" s="23">
        <v>8.9999999999999993E-3</v>
      </c>
    </row>
    <row r="141" spans="1:10" ht="14.5" thickBot="1">
      <c r="A141" s="71"/>
      <c r="B141" s="79" t="s">
        <v>11</v>
      </c>
      <c r="C141" s="49" t="s">
        <v>12</v>
      </c>
      <c r="D141" s="50">
        <v>0.42787900000000001</v>
      </c>
      <c r="E141" s="50">
        <v>0.414406</v>
      </c>
      <c r="F141" s="50">
        <v>0.90397700000000003</v>
      </c>
      <c r="G141" s="50">
        <v>0.56829300000000005</v>
      </c>
      <c r="H141" s="50">
        <v>0.50566199999999994</v>
      </c>
      <c r="I141" s="50">
        <v>0.42486600000000002</v>
      </c>
      <c r="J141" s="54">
        <v>0.49608600000000003</v>
      </c>
    </row>
    <row r="142" spans="1:10">
      <c r="A142" s="71"/>
      <c r="B142" s="76" t="s">
        <v>12</v>
      </c>
      <c r="C142" s="40" t="s">
        <v>9</v>
      </c>
      <c r="D142" s="41">
        <v>0.34961100000000001</v>
      </c>
      <c r="E142" s="41">
        <v>0.73340300000000003</v>
      </c>
      <c r="F142" s="41">
        <v>0.20866699999999999</v>
      </c>
      <c r="G142" s="41">
        <v>0.32489499999999999</v>
      </c>
      <c r="H142" s="41">
        <v>0.50051999999999996</v>
      </c>
      <c r="I142" s="41">
        <v>0.74052499999999999</v>
      </c>
      <c r="J142" s="53">
        <v>0.50481500000000001</v>
      </c>
    </row>
    <row r="143" spans="1:10">
      <c r="A143" s="71"/>
      <c r="B143" s="76" t="s">
        <v>12</v>
      </c>
      <c r="C143" s="42" t="s">
        <v>10</v>
      </c>
      <c r="D143" s="43">
        <v>0.450428</v>
      </c>
      <c r="E143" s="43">
        <v>0.99485000000000001</v>
      </c>
      <c r="F143" s="43">
        <v>0.39424900000000002</v>
      </c>
      <c r="G143" s="43">
        <v>0.56470900000000002</v>
      </c>
      <c r="H143" s="43">
        <v>0.79970300000000005</v>
      </c>
      <c r="I143" s="43">
        <v>0.97465999999999997</v>
      </c>
      <c r="J143" s="52">
        <v>0.28919600000000001</v>
      </c>
    </row>
    <row r="144" spans="1:10" ht="14.5" thickBot="1">
      <c r="A144" s="71"/>
      <c r="B144" s="76" t="s">
        <v>12</v>
      </c>
      <c r="C144" s="40" t="s">
        <v>11</v>
      </c>
      <c r="D144" s="41">
        <v>0.43966699999999997</v>
      </c>
      <c r="E144" s="41">
        <v>0.41720000000000002</v>
      </c>
      <c r="F144" s="41">
        <v>0.30399999999999999</v>
      </c>
      <c r="G144" s="41">
        <v>0.35171599999999997</v>
      </c>
      <c r="H144" s="41">
        <v>0.404358</v>
      </c>
      <c r="I144" s="41">
        <v>0.42799599999999999</v>
      </c>
      <c r="J144" s="53">
        <v>0.57199999999999995</v>
      </c>
    </row>
    <row r="145" spans="1:10" ht="14.5" thickBot="1">
      <c r="A145" s="72"/>
      <c r="B145" s="77" t="s">
        <v>12</v>
      </c>
      <c r="C145" s="25" t="s">
        <v>12</v>
      </c>
      <c r="D145" s="16">
        <v>0.90424199999999999</v>
      </c>
      <c r="E145" s="16">
        <v>0.85132699999999994</v>
      </c>
      <c r="F145" s="16">
        <v>0.93307499999999999</v>
      </c>
      <c r="G145" s="16">
        <v>0.89032900000000004</v>
      </c>
      <c r="H145" s="16">
        <v>0.97553599999999996</v>
      </c>
      <c r="I145" s="16">
        <v>0.96758299999999997</v>
      </c>
      <c r="J145" s="26">
        <v>9.4271999999999995E-2</v>
      </c>
    </row>
    <row r="146" spans="1:10">
      <c r="A146" s="70" t="s">
        <v>49</v>
      </c>
      <c r="B146" s="73" t="s">
        <v>9</v>
      </c>
      <c r="C146" s="22" t="s">
        <v>9</v>
      </c>
      <c r="D146" s="11">
        <v>0.81183300000000003</v>
      </c>
      <c r="E146" s="11">
        <v>0.85570000000000002</v>
      </c>
      <c r="F146" s="11">
        <v>0.89820699999999998</v>
      </c>
      <c r="G146" s="11">
        <v>0.87757700000000005</v>
      </c>
      <c r="H146" s="11">
        <v>0.84162099999999995</v>
      </c>
      <c r="I146" s="11">
        <v>0.937276</v>
      </c>
      <c r="J146" s="23">
        <v>0.237348</v>
      </c>
    </row>
    <row r="147" spans="1:10">
      <c r="A147" s="71"/>
      <c r="B147" s="74" t="s">
        <v>9</v>
      </c>
      <c r="C147" s="42" t="s">
        <v>10</v>
      </c>
      <c r="D147" s="43">
        <v>0.73779600000000001</v>
      </c>
      <c r="E147" s="43">
        <v>0.94324799999999998</v>
      </c>
      <c r="F147" s="43">
        <v>0.75547299999999995</v>
      </c>
      <c r="G147" s="43">
        <v>0.83898200000000001</v>
      </c>
      <c r="H147" s="43">
        <v>0.74254799999999999</v>
      </c>
      <c r="I147" s="43">
        <v>0.96281700000000003</v>
      </c>
      <c r="J147" s="52">
        <v>0.33251599999999998</v>
      </c>
    </row>
    <row r="148" spans="1:10">
      <c r="A148" s="71"/>
      <c r="B148" s="74" t="s">
        <v>9</v>
      </c>
      <c r="C148" s="40" t="s">
        <v>11</v>
      </c>
      <c r="D148" s="41">
        <v>0.44533299999999998</v>
      </c>
      <c r="E148" s="41">
        <v>0.41067500000000001</v>
      </c>
      <c r="F148" s="41">
        <v>0.25133299999999997</v>
      </c>
      <c r="G148" s="41">
        <v>0.31182799999999999</v>
      </c>
      <c r="H148" s="41">
        <v>0.41528500000000002</v>
      </c>
      <c r="I148" s="41">
        <v>0.44330799999999998</v>
      </c>
      <c r="J148" s="53">
        <v>0.56466700000000003</v>
      </c>
    </row>
    <row r="149" spans="1:10" ht="14.5" thickBot="1">
      <c r="A149" s="71"/>
      <c r="B149" s="74" t="s">
        <v>9</v>
      </c>
      <c r="C149" s="49" t="s">
        <v>12</v>
      </c>
      <c r="D149" s="50">
        <v>0.53292899999999999</v>
      </c>
      <c r="E149" s="50">
        <v>0.45686700000000002</v>
      </c>
      <c r="F149" s="50">
        <v>0.64209499999999997</v>
      </c>
      <c r="G149" s="50">
        <v>0.53387099999999998</v>
      </c>
      <c r="H149" s="50">
        <v>0.57136900000000002</v>
      </c>
      <c r="I149" s="50">
        <v>0.49745099999999998</v>
      </c>
      <c r="J149" s="54">
        <v>0.44607599999999997</v>
      </c>
    </row>
    <row r="150" spans="1:10" ht="14.5" thickBot="1">
      <c r="A150" s="71"/>
      <c r="B150" s="75" t="s">
        <v>10</v>
      </c>
      <c r="C150" s="45" t="s">
        <v>9</v>
      </c>
      <c r="D150" s="46">
        <v>0.340333</v>
      </c>
      <c r="E150" s="46">
        <v>0.87465400000000004</v>
      </c>
      <c r="F150" s="46">
        <v>0.140593</v>
      </c>
      <c r="G150" s="46">
        <v>0.24224599999999999</v>
      </c>
      <c r="H150" s="46">
        <v>0.55895700000000004</v>
      </c>
      <c r="I150" s="46">
        <v>0.80427199999999999</v>
      </c>
      <c r="J150" s="69">
        <v>0.45288899999999999</v>
      </c>
    </row>
    <row r="151" spans="1:10">
      <c r="A151" s="71"/>
      <c r="B151" s="76" t="s">
        <v>10</v>
      </c>
      <c r="C151" s="22" t="s">
        <v>10</v>
      </c>
      <c r="D151" s="11">
        <v>0.99245099999999997</v>
      </c>
      <c r="E151" s="11">
        <v>0.99280800000000002</v>
      </c>
      <c r="F151" s="11">
        <v>0.99888699999999997</v>
      </c>
      <c r="G151" s="11">
        <v>0.995838</v>
      </c>
      <c r="H151" s="11">
        <v>0.999085</v>
      </c>
      <c r="I151" s="11">
        <v>0.99990100000000004</v>
      </c>
      <c r="J151" s="23">
        <v>1.387E-2</v>
      </c>
    </row>
    <row r="152" spans="1:10">
      <c r="A152" s="71"/>
      <c r="B152" s="76" t="s">
        <v>10</v>
      </c>
      <c r="C152" s="40" t="s">
        <v>11</v>
      </c>
      <c r="D152" s="41">
        <v>0.44366699999999998</v>
      </c>
      <c r="E152" s="41">
        <v>0.44648500000000002</v>
      </c>
      <c r="F152" s="41">
        <v>0.47</v>
      </c>
      <c r="G152" s="41">
        <v>0.45794099999999999</v>
      </c>
      <c r="H152" s="41">
        <v>0.41063300000000003</v>
      </c>
      <c r="I152" s="41">
        <v>0.44173099999999998</v>
      </c>
      <c r="J152" s="53">
        <v>0.56366700000000003</v>
      </c>
    </row>
    <row r="153" spans="1:10" ht="14.5" thickBot="1">
      <c r="A153" s="71"/>
      <c r="B153" s="77" t="s">
        <v>10</v>
      </c>
      <c r="C153" s="49" t="s">
        <v>12</v>
      </c>
      <c r="D153" s="50">
        <v>0.80686899999999995</v>
      </c>
      <c r="E153" s="50">
        <v>0.72316400000000003</v>
      </c>
      <c r="F153" s="50">
        <v>0.86905900000000003</v>
      </c>
      <c r="G153" s="50">
        <v>0.78942699999999999</v>
      </c>
      <c r="H153" s="50">
        <v>0.92097300000000004</v>
      </c>
      <c r="I153" s="50">
        <v>0.91278599999999999</v>
      </c>
      <c r="J153" s="54">
        <v>0.16367699999999999</v>
      </c>
    </row>
    <row r="154" spans="1:10">
      <c r="A154" s="71"/>
      <c r="B154" s="78" t="s">
        <v>11</v>
      </c>
      <c r="C154" s="40" t="s">
        <v>9</v>
      </c>
      <c r="D154" s="41">
        <v>0.74688900000000003</v>
      </c>
      <c r="E154" s="41">
        <v>0.75211399999999995</v>
      </c>
      <c r="F154" s="41">
        <v>0.98822200000000004</v>
      </c>
      <c r="G154" s="41">
        <v>0.85415200000000002</v>
      </c>
      <c r="H154" s="41">
        <v>0.60511700000000002</v>
      </c>
      <c r="I154" s="41">
        <v>0.80852599999999997</v>
      </c>
      <c r="J154" s="53">
        <v>0.41540700000000003</v>
      </c>
    </row>
    <row r="155" spans="1:10" ht="14.5" thickBot="1">
      <c r="A155" s="71"/>
      <c r="B155" s="78" t="s">
        <v>11</v>
      </c>
      <c r="C155" s="42" t="s">
        <v>10</v>
      </c>
      <c r="D155" s="43">
        <v>0.89397800000000005</v>
      </c>
      <c r="E155" s="43">
        <v>0.90486699999999998</v>
      </c>
      <c r="F155" s="43">
        <v>0.986456</v>
      </c>
      <c r="G155" s="43">
        <v>0.94390200000000002</v>
      </c>
      <c r="H155" s="43">
        <v>0.51718900000000001</v>
      </c>
      <c r="I155" s="43">
        <v>0.90799200000000002</v>
      </c>
      <c r="J155" s="52">
        <v>0.483518</v>
      </c>
    </row>
    <row r="156" spans="1:10">
      <c r="A156" s="71"/>
      <c r="B156" s="78" t="s">
        <v>11</v>
      </c>
      <c r="C156" s="22" t="s">
        <v>11</v>
      </c>
      <c r="D156" s="11">
        <v>0.99666699999999997</v>
      </c>
      <c r="E156" s="11">
        <v>0.99666699999999997</v>
      </c>
      <c r="F156" s="11">
        <v>0.99666699999999997</v>
      </c>
      <c r="G156" s="11">
        <v>0.99666699999999997</v>
      </c>
      <c r="H156" s="11">
        <v>0.99989899999999998</v>
      </c>
      <c r="I156" s="11">
        <v>0.99989600000000001</v>
      </c>
      <c r="J156" s="23">
        <v>3.333E-3</v>
      </c>
    </row>
    <row r="157" spans="1:10" ht="14.5" thickBot="1">
      <c r="A157" s="71"/>
      <c r="B157" s="79" t="s">
        <v>11</v>
      </c>
      <c r="C157" s="49" t="s">
        <v>12</v>
      </c>
      <c r="D157" s="50">
        <v>0.446465</v>
      </c>
      <c r="E157" s="50">
        <v>0.42549500000000001</v>
      </c>
      <c r="F157" s="50">
        <v>0.93889400000000001</v>
      </c>
      <c r="G157" s="50">
        <v>0.58560199999999996</v>
      </c>
      <c r="H157" s="50">
        <v>0.54918999999999996</v>
      </c>
      <c r="I157" s="50">
        <v>0.45262200000000002</v>
      </c>
      <c r="J157" s="54">
        <v>0.46027600000000002</v>
      </c>
    </row>
    <row r="158" spans="1:10">
      <c r="A158" s="71"/>
      <c r="B158" s="76" t="s">
        <v>12</v>
      </c>
      <c r="C158" s="40" t="s">
        <v>9</v>
      </c>
      <c r="D158" s="41">
        <v>0.35299999999999998</v>
      </c>
      <c r="E158" s="41">
        <v>0.78435600000000005</v>
      </c>
      <c r="F158" s="41">
        <v>0.18940699999999999</v>
      </c>
      <c r="G158" s="41">
        <v>0.30513099999999999</v>
      </c>
      <c r="H158" s="41">
        <v>0.48855500000000002</v>
      </c>
      <c r="I158" s="41">
        <v>0.76018699999999995</v>
      </c>
      <c r="J158" s="53">
        <v>0.51674100000000001</v>
      </c>
    </row>
    <row r="159" spans="1:10">
      <c r="A159" s="71"/>
      <c r="B159" s="76" t="s">
        <v>12</v>
      </c>
      <c r="C159" s="42" t="s">
        <v>10</v>
      </c>
      <c r="D159" s="43">
        <v>0.199463</v>
      </c>
      <c r="E159" s="43">
        <v>1</v>
      </c>
      <c r="F159" s="43">
        <v>0.114657</v>
      </c>
      <c r="G159" s="43">
        <v>0.20572599999999999</v>
      </c>
      <c r="H159" s="43">
        <v>0.76735900000000001</v>
      </c>
      <c r="I159" s="43">
        <v>0.97146200000000005</v>
      </c>
      <c r="J159" s="52">
        <v>0.27796399999999999</v>
      </c>
    </row>
    <row r="160" spans="1:10" ht="14.5" thickBot="1">
      <c r="A160" s="71"/>
      <c r="B160" s="76" t="s">
        <v>12</v>
      </c>
      <c r="C160" s="40" t="s">
        <v>11</v>
      </c>
      <c r="D160" s="41">
        <v>0.42633300000000002</v>
      </c>
      <c r="E160" s="41">
        <v>0.39565600000000001</v>
      </c>
      <c r="F160" s="41">
        <v>0.279333</v>
      </c>
      <c r="G160" s="41">
        <v>0.32747199999999999</v>
      </c>
      <c r="H160" s="41">
        <v>0.39394200000000001</v>
      </c>
      <c r="I160" s="41">
        <v>0.43255399999999999</v>
      </c>
      <c r="J160" s="53">
        <v>0.57399999999999995</v>
      </c>
    </row>
    <row r="161" spans="1:10" ht="14.5" thickBot="1">
      <c r="A161" s="72"/>
      <c r="B161" s="77" t="s">
        <v>12</v>
      </c>
      <c r="C161" s="22" t="s">
        <v>12</v>
      </c>
      <c r="D161" s="11">
        <v>0.94989900000000005</v>
      </c>
      <c r="E161" s="11">
        <v>0.95486499999999996</v>
      </c>
      <c r="F161" s="11">
        <v>0.92337499999999995</v>
      </c>
      <c r="G161" s="11">
        <v>0.93885600000000002</v>
      </c>
      <c r="H161" s="11">
        <v>0.98986700000000005</v>
      </c>
      <c r="I161" s="11">
        <v>0.98720799999999997</v>
      </c>
      <c r="J161" s="23">
        <v>5.2850000000000001E-2</v>
      </c>
    </row>
    <row r="162" spans="1:10">
      <c r="A162" s="70" t="s">
        <v>50</v>
      </c>
      <c r="B162" s="73" t="s">
        <v>9</v>
      </c>
      <c r="C162" s="22" t="s">
        <v>9</v>
      </c>
      <c r="D162" s="11">
        <v>0.79116699999999995</v>
      </c>
      <c r="E162" s="11">
        <v>0.82411699999999999</v>
      </c>
      <c r="F162" s="11">
        <v>0.91733299999999995</v>
      </c>
      <c r="G162" s="11">
        <v>0.86822999999999995</v>
      </c>
      <c r="H162" s="11">
        <v>0.81392200000000003</v>
      </c>
      <c r="I162" s="11">
        <v>0.92868499999999998</v>
      </c>
      <c r="J162" s="23">
        <v>0.27140700000000001</v>
      </c>
    </row>
    <row r="163" spans="1:10">
      <c r="A163" s="71"/>
      <c r="B163" s="74" t="s">
        <v>9</v>
      </c>
      <c r="C163" s="42" t="s">
        <v>10</v>
      </c>
      <c r="D163" s="43">
        <v>0.89817100000000005</v>
      </c>
      <c r="E163" s="43">
        <v>0.90390099999999995</v>
      </c>
      <c r="F163" s="43">
        <v>0.99295</v>
      </c>
      <c r="G163" s="43">
        <v>0.94633500000000004</v>
      </c>
      <c r="H163" s="43">
        <v>0.52122299999999999</v>
      </c>
      <c r="I163" s="43">
        <v>0.913995</v>
      </c>
      <c r="J163" s="52">
        <v>0.49692399999999998</v>
      </c>
    </row>
    <row r="164" spans="1:10">
      <c r="A164" s="71"/>
      <c r="B164" s="74" t="s">
        <v>9</v>
      </c>
      <c r="C164" s="40" t="s">
        <v>11</v>
      </c>
      <c r="D164" s="41">
        <v>0.5</v>
      </c>
      <c r="E164" s="41">
        <v>0.5</v>
      </c>
      <c r="F164" s="41">
        <v>0.99933300000000003</v>
      </c>
      <c r="G164" s="41">
        <v>0.66651800000000005</v>
      </c>
      <c r="H164" s="41">
        <v>0.55693300000000001</v>
      </c>
      <c r="I164" s="41">
        <v>0.53608199999999995</v>
      </c>
      <c r="J164" s="53">
        <v>0.45966699999999999</v>
      </c>
    </row>
    <row r="165" spans="1:10" ht="14.5" thickBot="1">
      <c r="A165" s="71"/>
      <c r="B165" s="74" t="s">
        <v>9</v>
      </c>
      <c r="C165" s="49" t="s">
        <v>12</v>
      </c>
      <c r="D165" s="50">
        <v>0.41494900000000001</v>
      </c>
      <c r="E165" s="50">
        <v>0.41472399999999998</v>
      </c>
      <c r="F165" s="50">
        <v>0.98351100000000002</v>
      </c>
      <c r="G165" s="50">
        <v>0.58342899999999998</v>
      </c>
      <c r="H165" s="50">
        <v>0.50525299999999995</v>
      </c>
      <c r="I165" s="50">
        <v>0.42836200000000002</v>
      </c>
      <c r="J165" s="54">
        <v>0.495394</v>
      </c>
    </row>
    <row r="166" spans="1:10" ht="14.5" thickBot="1">
      <c r="A166" s="71"/>
      <c r="B166" s="75" t="s">
        <v>10</v>
      </c>
      <c r="C166" s="45" t="s">
        <v>9</v>
      </c>
      <c r="D166" s="46">
        <v>0.75</v>
      </c>
      <c r="E166" s="46">
        <v>0.75</v>
      </c>
      <c r="F166" s="46">
        <v>1</v>
      </c>
      <c r="G166" s="46">
        <v>0.85714299999999999</v>
      </c>
      <c r="H166" s="46">
        <v>0.50625200000000004</v>
      </c>
      <c r="I166" s="46">
        <v>0.77789200000000003</v>
      </c>
      <c r="J166" s="69">
        <v>0.471889</v>
      </c>
    </row>
    <row r="167" spans="1:10">
      <c r="A167" s="71"/>
      <c r="B167" s="76" t="s">
        <v>10</v>
      </c>
      <c r="C167" s="22" t="s">
        <v>10</v>
      </c>
      <c r="D167" s="11">
        <v>0.96477100000000005</v>
      </c>
      <c r="E167" s="11">
        <v>0.96801599999999999</v>
      </c>
      <c r="F167" s="11">
        <v>0.99387800000000004</v>
      </c>
      <c r="G167" s="11">
        <v>0.98077599999999998</v>
      </c>
      <c r="H167" s="11">
        <v>0.98053699999999999</v>
      </c>
      <c r="I167" s="11">
        <v>0.99770400000000004</v>
      </c>
      <c r="J167" s="23">
        <v>6.8566000000000002E-2</v>
      </c>
    </row>
    <row r="168" spans="1:10">
      <c r="A168" s="71"/>
      <c r="B168" s="76" t="s">
        <v>10</v>
      </c>
      <c r="C168" s="40" t="s">
        <v>11</v>
      </c>
      <c r="D168" s="41">
        <v>0.5</v>
      </c>
      <c r="E168" s="41">
        <v>0.5</v>
      </c>
      <c r="F168" s="41">
        <v>1</v>
      </c>
      <c r="G168" s="41">
        <v>0.66666700000000001</v>
      </c>
      <c r="H168" s="41">
        <v>0.40297500000000003</v>
      </c>
      <c r="I168" s="41">
        <v>0.43448399999999998</v>
      </c>
      <c r="J168" s="53">
        <v>0.57233299999999998</v>
      </c>
    </row>
    <row r="169" spans="1:10" ht="14.5" thickBot="1">
      <c r="A169" s="71"/>
      <c r="B169" s="77" t="s">
        <v>10</v>
      </c>
      <c r="C169" s="49" t="s">
        <v>12</v>
      </c>
      <c r="D169" s="50">
        <v>0.41656599999999999</v>
      </c>
      <c r="E169" s="50">
        <v>0.41656599999999999</v>
      </c>
      <c r="F169" s="50">
        <v>1</v>
      </c>
      <c r="G169" s="50">
        <v>0.58813499999999996</v>
      </c>
      <c r="H169" s="50">
        <v>0.58780600000000005</v>
      </c>
      <c r="I169" s="50">
        <v>0.48086000000000001</v>
      </c>
      <c r="J169" s="54">
        <v>0.43436999999999998</v>
      </c>
    </row>
    <row r="170" spans="1:10">
      <c r="A170" s="71"/>
      <c r="B170" s="78" t="s">
        <v>11</v>
      </c>
      <c r="C170" s="40" t="s">
        <v>9</v>
      </c>
      <c r="D170" s="41">
        <v>0.64072200000000001</v>
      </c>
      <c r="E170" s="41">
        <v>0.76011499999999999</v>
      </c>
      <c r="F170" s="41">
        <v>0.761185</v>
      </c>
      <c r="G170" s="41">
        <v>0.76065000000000005</v>
      </c>
      <c r="H170" s="41">
        <v>0.55246499999999998</v>
      </c>
      <c r="I170" s="41">
        <v>0.78380300000000003</v>
      </c>
      <c r="J170" s="53">
        <v>0.46844400000000003</v>
      </c>
    </row>
    <row r="171" spans="1:10" ht="14.5" thickBot="1">
      <c r="A171" s="71"/>
      <c r="B171" s="78" t="s">
        <v>11</v>
      </c>
      <c r="C171" s="42" t="s">
        <v>10</v>
      </c>
      <c r="D171" s="43">
        <v>0.69518500000000005</v>
      </c>
      <c r="E171" s="43">
        <v>0.90834300000000001</v>
      </c>
      <c r="F171" s="43">
        <v>0.73729100000000003</v>
      </c>
      <c r="G171" s="43">
        <v>0.81392699999999996</v>
      </c>
      <c r="H171" s="43">
        <v>0.49672100000000002</v>
      </c>
      <c r="I171" s="43">
        <v>0.89702400000000004</v>
      </c>
      <c r="J171" s="52">
        <v>0.50224100000000005</v>
      </c>
    </row>
    <row r="172" spans="1:10">
      <c r="A172" s="71"/>
      <c r="B172" s="78" t="s">
        <v>11</v>
      </c>
      <c r="C172" s="22" t="s">
        <v>11</v>
      </c>
      <c r="D172" s="11">
        <v>0.98099999999999998</v>
      </c>
      <c r="E172" s="11">
        <v>0.97560999999999998</v>
      </c>
      <c r="F172" s="11">
        <v>0.98666699999999996</v>
      </c>
      <c r="G172" s="11">
        <v>0.98110699999999995</v>
      </c>
      <c r="H172" s="11">
        <v>0.99815699999999996</v>
      </c>
      <c r="I172" s="11">
        <v>0.998108</v>
      </c>
      <c r="J172" s="23">
        <v>2.1000000000000001E-2</v>
      </c>
    </row>
    <row r="173" spans="1:10" ht="14.5" thickBot="1">
      <c r="A173" s="71"/>
      <c r="B173" s="79" t="s">
        <v>11</v>
      </c>
      <c r="C173" s="49" t="s">
        <v>12</v>
      </c>
      <c r="D173" s="50">
        <v>0.41292899999999999</v>
      </c>
      <c r="E173" s="50">
        <v>0.39575100000000002</v>
      </c>
      <c r="F173" s="50">
        <v>0.77691600000000005</v>
      </c>
      <c r="G173" s="50">
        <v>0.52438600000000002</v>
      </c>
      <c r="H173" s="50">
        <v>0.39988400000000002</v>
      </c>
      <c r="I173" s="50">
        <v>0.34798400000000002</v>
      </c>
      <c r="J173" s="54">
        <v>0.58017600000000003</v>
      </c>
    </row>
    <row r="174" spans="1:10">
      <c r="A174" s="71"/>
      <c r="B174" s="76" t="s">
        <v>12</v>
      </c>
      <c r="C174" s="40" t="s">
        <v>9</v>
      </c>
      <c r="D174" s="41">
        <v>0.58616699999999999</v>
      </c>
      <c r="E174" s="41">
        <v>0.72225099999999998</v>
      </c>
      <c r="F174" s="41">
        <v>0.72829600000000005</v>
      </c>
      <c r="G174" s="41">
        <v>0.72526100000000004</v>
      </c>
      <c r="H174" s="41">
        <v>0.395235</v>
      </c>
      <c r="I174" s="41">
        <v>0.68063300000000004</v>
      </c>
      <c r="J174" s="53">
        <v>0.56437000000000004</v>
      </c>
    </row>
    <row r="175" spans="1:10">
      <c r="A175" s="71"/>
      <c r="B175" s="76" t="s">
        <v>12</v>
      </c>
      <c r="C175" s="42" t="s">
        <v>10</v>
      </c>
      <c r="D175" s="43">
        <v>0.82435800000000004</v>
      </c>
      <c r="E175" s="43">
        <v>0.90886800000000001</v>
      </c>
      <c r="F175" s="43">
        <v>0.89554699999999998</v>
      </c>
      <c r="G175" s="43">
        <v>0.90215900000000004</v>
      </c>
      <c r="H175" s="43">
        <v>0.51822500000000005</v>
      </c>
      <c r="I175" s="43">
        <v>0.90143399999999996</v>
      </c>
      <c r="J175" s="52">
        <v>0.48855700000000002</v>
      </c>
    </row>
    <row r="176" spans="1:10" ht="14.5" thickBot="1">
      <c r="A176" s="71"/>
      <c r="B176" s="76" t="s">
        <v>12</v>
      </c>
      <c r="C176" s="40" t="s">
        <v>11</v>
      </c>
      <c r="D176" s="41">
        <v>0.527667</v>
      </c>
      <c r="E176" s="41">
        <v>0.51833799999999997</v>
      </c>
      <c r="F176" s="41">
        <v>0.78200000000000003</v>
      </c>
      <c r="G176" s="41">
        <v>0.62343899999999997</v>
      </c>
      <c r="H176" s="41">
        <v>0.52105299999999999</v>
      </c>
      <c r="I176" s="41">
        <v>0.49755100000000002</v>
      </c>
      <c r="J176" s="53">
        <v>0.47599999999999998</v>
      </c>
    </row>
    <row r="177" spans="1:10" ht="14.5" thickBot="1">
      <c r="A177" s="72"/>
      <c r="B177" s="77" t="s">
        <v>12</v>
      </c>
      <c r="C177" s="22" t="s">
        <v>12</v>
      </c>
      <c r="D177" s="11">
        <v>0.83030000000000004</v>
      </c>
      <c r="E177" s="11">
        <v>0.74539999999999995</v>
      </c>
      <c r="F177" s="11">
        <v>0.90010000000000001</v>
      </c>
      <c r="G177" s="11">
        <v>0.8155</v>
      </c>
      <c r="H177" s="11">
        <v>0.84030000000000005</v>
      </c>
      <c r="I177" s="11">
        <v>0.85119999999999996</v>
      </c>
      <c r="J177" s="23">
        <v>0.104478</v>
      </c>
    </row>
  </sheetData>
  <mergeCells count="51">
    <mergeCell ref="B34:B37"/>
    <mergeCell ref="B38:B41"/>
    <mergeCell ref="B42:B45"/>
    <mergeCell ref="B46:B49"/>
    <mergeCell ref="A34:A49"/>
    <mergeCell ref="A2:A17"/>
    <mergeCell ref="A18:A33"/>
    <mergeCell ref="B18:B21"/>
    <mergeCell ref="B22:B25"/>
    <mergeCell ref="B26:B29"/>
    <mergeCell ref="B30:B33"/>
    <mergeCell ref="A50:A65"/>
    <mergeCell ref="B58:B61"/>
    <mergeCell ref="B62:B65"/>
    <mergeCell ref="B50:B53"/>
    <mergeCell ref="B54:B57"/>
    <mergeCell ref="B66:B69"/>
    <mergeCell ref="B70:B73"/>
    <mergeCell ref="B74:B77"/>
    <mergeCell ref="B78:B81"/>
    <mergeCell ref="A66:A81"/>
    <mergeCell ref="B82:B85"/>
    <mergeCell ref="B86:B89"/>
    <mergeCell ref="B90:B93"/>
    <mergeCell ref="B94:B97"/>
    <mergeCell ref="A82:A97"/>
    <mergeCell ref="A98:A113"/>
    <mergeCell ref="B98:B101"/>
    <mergeCell ref="B102:B105"/>
    <mergeCell ref="B106:B109"/>
    <mergeCell ref="B110:B113"/>
    <mergeCell ref="A114:A129"/>
    <mergeCell ref="B114:B117"/>
    <mergeCell ref="B118:B121"/>
    <mergeCell ref="B122:B125"/>
    <mergeCell ref="B126:B129"/>
    <mergeCell ref="A130:A145"/>
    <mergeCell ref="B130:B133"/>
    <mergeCell ref="B134:B137"/>
    <mergeCell ref="B138:B141"/>
    <mergeCell ref="B142:B145"/>
    <mergeCell ref="A146:A161"/>
    <mergeCell ref="B146:B149"/>
    <mergeCell ref="B150:B153"/>
    <mergeCell ref="B154:B157"/>
    <mergeCell ref="B158:B161"/>
    <mergeCell ref="A162:A177"/>
    <mergeCell ref="B162:B165"/>
    <mergeCell ref="B166:B169"/>
    <mergeCell ref="B170:B173"/>
    <mergeCell ref="B174:B177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5721-D91B-4E25-B0AB-02A551FFDC5D}">
  <dimension ref="A1:J133"/>
  <sheetViews>
    <sheetView workbookViewId="0">
      <selection activeCell="B131" sqref="B131:B133"/>
    </sheetView>
  </sheetViews>
  <sheetFormatPr defaultRowHeight="14"/>
  <cols>
    <col min="2" max="3" width="18" customWidth="1"/>
    <col min="4" max="10" width="12" customWidth="1"/>
  </cols>
  <sheetData>
    <row r="1" spans="1:10" ht="21.4" customHeight="1" thickBot="1">
      <c r="A1" s="105" t="s">
        <v>13</v>
      </c>
      <c r="B1" s="58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9" t="s">
        <v>8</v>
      </c>
    </row>
    <row r="2" spans="1:10">
      <c r="A2" s="130" t="s">
        <v>14</v>
      </c>
      <c r="B2" s="127" t="s">
        <v>58</v>
      </c>
      <c r="C2" s="114" t="s">
        <v>10</v>
      </c>
      <c r="D2" s="115">
        <v>0.79849999999999999</v>
      </c>
      <c r="E2" s="115">
        <v>0.92820000000000003</v>
      </c>
      <c r="F2" s="115">
        <v>0.84230000000000005</v>
      </c>
      <c r="G2" s="115">
        <f>IFERROR(2*E2*F2/(E2+F2),"")</f>
        <v>0.88316617904546746</v>
      </c>
      <c r="H2" s="115">
        <v>0.67200000000000004</v>
      </c>
      <c r="I2" s="116">
        <v>0.94010000000000005</v>
      </c>
      <c r="J2" s="60"/>
    </row>
    <row r="3" spans="1:10">
      <c r="A3" s="131"/>
      <c r="B3" s="128" t="s">
        <v>9</v>
      </c>
      <c r="C3" s="117" t="s">
        <v>11</v>
      </c>
      <c r="D3" s="3">
        <v>0.504</v>
      </c>
      <c r="E3" s="3">
        <v>0.50749999999999995</v>
      </c>
      <c r="F3" s="3">
        <v>0.2707</v>
      </c>
      <c r="G3" s="3">
        <f>IFERROR(2*E3*F3/(E3+F3),"")</f>
        <v>0.35307183243382156</v>
      </c>
      <c r="H3" s="3">
        <v>0.47099999999999997</v>
      </c>
      <c r="I3" s="118">
        <v>0.49690000000000001</v>
      </c>
      <c r="J3" s="60"/>
    </row>
    <row r="4" spans="1:10" ht="14.5" thickBot="1">
      <c r="A4" s="131"/>
      <c r="B4" s="128" t="s">
        <v>9</v>
      </c>
      <c r="C4" s="119" t="s">
        <v>12</v>
      </c>
      <c r="D4" s="120">
        <v>0.52849999999999997</v>
      </c>
      <c r="E4" s="120">
        <v>0.45369999999999999</v>
      </c>
      <c r="F4" s="120">
        <v>0.64600000000000002</v>
      </c>
      <c r="G4" s="120">
        <f>IFERROR(2*E4*F4/(E4+F4),"")</f>
        <v>0.53303664635809778</v>
      </c>
      <c r="H4" s="120">
        <v>0.57879999999999998</v>
      </c>
      <c r="I4" s="121">
        <v>0.48220000000000002</v>
      </c>
      <c r="J4" s="60"/>
    </row>
    <row r="5" spans="1:10">
      <c r="A5" s="131"/>
      <c r="B5" s="128" t="s">
        <v>10</v>
      </c>
      <c r="C5" s="114" t="s">
        <v>9</v>
      </c>
      <c r="D5" s="115">
        <v>0.39219999999999999</v>
      </c>
      <c r="E5" s="115">
        <v>0.84799999999999998</v>
      </c>
      <c r="F5" s="115">
        <v>0.23100000000000001</v>
      </c>
      <c r="G5" s="115">
        <f>IFERROR(2*E5*F5/(E5+F5),"")</f>
        <v>0.36309175162187213</v>
      </c>
      <c r="H5" s="115">
        <v>0.57709999999999995</v>
      </c>
      <c r="I5" s="116">
        <v>0.81259999999999999</v>
      </c>
      <c r="J5" s="60"/>
    </row>
    <row r="6" spans="1:10">
      <c r="A6" s="131"/>
      <c r="B6" s="128" t="s">
        <v>10</v>
      </c>
      <c r="C6" s="117" t="s">
        <v>11</v>
      </c>
      <c r="D6" s="3">
        <v>0.50229999999999997</v>
      </c>
      <c r="E6" s="3">
        <v>0.50160000000000005</v>
      </c>
      <c r="F6" s="3">
        <v>0.72130000000000005</v>
      </c>
      <c r="G6" s="3">
        <f>IFERROR(2*E6*F6/(E6+F6),"")</f>
        <v>0.59171490718783226</v>
      </c>
      <c r="H6" s="3">
        <v>0.49120000000000003</v>
      </c>
      <c r="I6" s="118">
        <v>0.49299999999999999</v>
      </c>
      <c r="J6" s="60"/>
    </row>
    <row r="7" spans="1:10" ht="14.5" thickBot="1">
      <c r="A7" s="131"/>
      <c r="B7" s="128" t="s">
        <v>10</v>
      </c>
      <c r="C7" s="119" t="s">
        <v>12</v>
      </c>
      <c r="D7" s="120">
        <v>0.66510000000000002</v>
      </c>
      <c r="E7" s="120">
        <v>0.56820000000000004</v>
      </c>
      <c r="F7" s="120">
        <v>0.81669999999999998</v>
      </c>
      <c r="G7" s="120">
        <f>IFERROR(2*E7*F7/(E7+F7),"")</f>
        <v>0.67015515921727198</v>
      </c>
      <c r="H7" s="120">
        <v>0.76370000000000005</v>
      </c>
      <c r="I7" s="121">
        <v>0.66779999999999995</v>
      </c>
      <c r="J7" s="60"/>
    </row>
    <row r="8" spans="1:10">
      <c r="A8" s="131"/>
      <c r="B8" s="128" t="s">
        <v>11</v>
      </c>
      <c r="C8" s="114" t="s">
        <v>9</v>
      </c>
      <c r="D8" s="115">
        <v>0.55989999999999995</v>
      </c>
      <c r="E8" s="115">
        <v>0.79330000000000001</v>
      </c>
      <c r="F8" s="115">
        <v>0.55869999999999997</v>
      </c>
      <c r="G8" s="115">
        <f>IFERROR(2*E8*F8/(E8+F8),"")</f>
        <v>0.65564602071005917</v>
      </c>
      <c r="H8" s="115">
        <v>0.57420000000000004</v>
      </c>
      <c r="I8" s="116">
        <v>0.77929999999999999</v>
      </c>
      <c r="J8" s="60"/>
    </row>
    <row r="9" spans="1:10">
      <c r="A9" s="131"/>
      <c r="B9" s="128" t="s">
        <v>11</v>
      </c>
      <c r="C9" s="117" t="s">
        <v>10</v>
      </c>
      <c r="D9" s="3">
        <v>0.75439999999999996</v>
      </c>
      <c r="E9" s="3">
        <v>0.91120000000000001</v>
      </c>
      <c r="F9" s="3">
        <v>0.80710000000000004</v>
      </c>
      <c r="G9" s="3">
        <f>IFERROR(2*E9*F9/(E9+F9),"")</f>
        <v>0.85599664784961882</v>
      </c>
      <c r="H9" s="3">
        <v>0.51929999999999998</v>
      </c>
      <c r="I9" s="118">
        <v>0.90539999999999998</v>
      </c>
      <c r="J9" s="60"/>
    </row>
    <row r="10" spans="1:10" ht="14.5" thickBot="1">
      <c r="A10" s="131"/>
      <c r="B10" s="128" t="s">
        <v>11</v>
      </c>
      <c r="C10" s="119" t="s">
        <v>12</v>
      </c>
      <c r="D10" s="120">
        <v>0.50460000000000005</v>
      </c>
      <c r="E10" s="120">
        <v>0.4264</v>
      </c>
      <c r="F10" s="120">
        <v>0.54800000000000004</v>
      </c>
      <c r="G10" s="120">
        <f>IFERROR(2*E10*F10/(E10+F10),"")</f>
        <v>0.47961247947454844</v>
      </c>
      <c r="H10" s="120">
        <v>0.52429999999999999</v>
      </c>
      <c r="I10" s="121">
        <v>0.43659999999999999</v>
      </c>
      <c r="J10" s="60"/>
    </row>
    <row r="11" spans="1:10">
      <c r="A11" s="131"/>
      <c r="B11" s="128" t="s">
        <v>12</v>
      </c>
      <c r="C11" s="114" t="s">
        <v>9</v>
      </c>
      <c r="D11" s="115">
        <v>0.37490000000000001</v>
      </c>
      <c r="E11" s="115">
        <v>0.72370000000000001</v>
      </c>
      <c r="F11" s="115">
        <v>0.26929999999999998</v>
      </c>
      <c r="G11" s="115">
        <f>IFERROR(2*E11*F11/(E11+F11),"")</f>
        <v>0.39253254783484387</v>
      </c>
      <c r="H11" s="115">
        <v>0.48659999999999998</v>
      </c>
      <c r="I11" s="116">
        <v>0.72950000000000004</v>
      </c>
      <c r="J11" s="60"/>
    </row>
    <row r="12" spans="1:10">
      <c r="A12" s="131"/>
      <c r="B12" s="128" t="s">
        <v>12</v>
      </c>
      <c r="C12" s="117" t="s">
        <v>10</v>
      </c>
      <c r="D12" s="3">
        <v>0.31690000000000002</v>
      </c>
      <c r="E12" s="3">
        <v>0.98599999999999999</v>
      </c>
      <c r="F12" s="3">
        <v>0.24809999999999999</v>
      </c>
      <c r="G12" s="3">
        <f>IFERROR(2*E12*F12/(E12+F12),"")</f>
        <v>0.39644534478567373</v>
      </c>
      <c r="H12" s="3">
        <v>0.70369999999999999</v>
      </c>
      <c r="I12" s="118">
        <v>0.95960000000000001</v>
      </c>
      <c r="J12" s="60"/>
    </row>
    <row r="13" spans="1:10" ht="14.5" thickBot="1">
      <c r="A13" s="132"/>
      <c r="B13" s="129" t="s">
        <v>12</v>
      </c>
      <c r="C13" s="119" t="s">
        <v>11</v>
      </c>
      <c r="D13" s="120">
        <v>0.42970000000000003</v>
      </c>
      <c r="E13" s="120">
        <v>0.44990000000000002</v>
      </c>
      <c r="F13" s="120">
        <v>0.63129999999999997</v>
      </c>
      <c r="G13" s="120">
        <f>IFERROR(2*E13*F13/(E13+F13),"")</f>
        <v>0.52538266740658535</v>
      </c>
      <c r="H13" s="120">
        <v>0.41589999999999999</v>
      </c>
      <c r="I13" s="121">
        <v>0.44850000000000001</v>
      </c>
      <c r="J13" s="60"/>
    </row>
    <row r="14" spans="1:10">
      <c r="A14" s="130" t="s">
        <v>28</v>
      </c>
      <c r="B14" s="133" t="s">
        <v>58</v>
      </c>
      <c r="C14" s="122" t="s">
        <v>10</v>
      </c>
      <c r="D14" s="123">
        <v>0.62519999999999998</v>
      </c>
      <c r="E14" s="123">
        <v>0.92900000000000005</v>
      </c>
      <c r="F14" s="123">
        <v>0.63400000000000001</v>
      </c>
      <c r="G14" s="123" t="s">
        <v>15</v>
      </c>
      <c r="H14" s="123">
        <v>0.62480000000000002</v>
      </c>
      <c r="I14" s="124">
        <v>0.93279999999999996</v>
      </c>
      <c r="J14" s="62" t="s">
        <v>16</v>
      </c>
    </row>
    <row r="15" spans="1:10">
      <c r="A15" s="131"/>
      <c r="B15" s="134"/>
      <c r="C15" s="21" t="s">
        <v>11</v>
      </c>
      <c r="D15" s="15">
        <v>0.45800000000000002</v>
      </c>
      <c r="E15" s="15">
        <v>0.41799999999999998</v>
      </c>
      <c r="F15" s="15">
        <v>0.214</v>
      </c>
      <c r="G15" s="15" t="s">
        <v>17</v>
      </c>
      <c r="H15" s="15">
        <v>0.43369999999999997</v>
      </c>
      <c r="I15" s="125">
        <v>0.44359999999999999</v>
      </c>
      <c r="J15" s="62" t="s">
        <v>16</v>
      </c>
    </row>
    <row r="16" spans="1:10" ht="14.5" thickBot="1">
      <c r="A16" s="131"/>
      <c r="B16" s="135"/>
      <c r="C16" s="34" t="s">
        <v>12</v>
      </c>
      <c r="D16" s="35">
        <v>0.57169999999999999</v>
      </c>
      <c r="E16" s="35">
        <v>0.4788</v>
      </c>
      <c r="F16" s="35">
        <v>0.31719999999999998</v>
      </c>
      <c r="G16" s="35" t="s">
        <v>18</v>
      </c>
      <c r="H16" s="35">
        <v>0.54330000000000001</v>
      </c>
      <c r="I16" s="126">
        <v>0.46360000000000001</v>
      </c>
      <c r="J16" s="62" t="s">
        <v>16</v>
      </c>
    </row>
    <row r="17" spans="1:10">
      <c r="A17" s="131"/>
      <c r="B17" s="136" t="s">
        <v>10</v>
      </c>
      <c r="C17" s="122" t="s">
        <v>9</v>
      </c>
      <c r="D17" s="123">
        <v>0.54930000000000001</v>
      </c>
      <c r="E17" s="123">
        <v>0.78029999999999999</v>
      </c>
      <c r="F17" s="123">
        <v>0.55549999999999999</v>
      </c>
      <c r="G17" s="123" t="s">
        <v>19</v>
      </c>
      <c r="H17" s="123">
        <v>0.54679999999999995</v>
      </c>
      <c r="I17" s="124">
        <v>0.76790000000000003</v>
      </c>
      <c r="J17" s="62" t="s">
        <v>16</v>
      </c>
    </row>
    <row r="18" spans="1:10">
      <c r="A18" s="131"/>
      <c r="B18" s="137"/>
      <c r="C18" s="21" t="s">
        <v>11</v>
      </c>
      <c r="D18" s="15">
        <v>0.48430000000000001</v>
      </c>
      <c r="E18" s="15">
        <v>0.4919</v>
      </c>
      <c r="F18" s="15">
        <v>0.95469999999999999</v>
      </c>
      <c r="G18" s="15" t="s">
        <v>20</v>
      </c>
      <c r="H18" s="15">
        <v>0.41789999999999999</v>
      </c>
      <c r="I18" s="125">
        <v>0.45500000000000002</v>
      </c>
      <c r="J18" s="62" t="s">
        <v>16</v>
      </c>
    </row>
    <row r="19" spans="1:10" ht="14.5" thickBot="1">
      <c r="A19" s="131"/>
      <c r="B19" s="138"/>
      <c r="C19" s="34" t="s">
        <v>12</v>
      </c>
      <c r="D19" s="35">
        <v>0.60729999999999995</v>
      </c>
      <c r="E19" s="35">
        <v>0.51549999999999996</v>
      </c>
      <c r="F19" s="35">
        <v>0.95340000000000003</v>
      </c>
      <c r="G19" s="35" t="s">
        <v>21</v>
      </c>
      <c r="H19" s="35">
        <v>0.80120000000000002</v>
      </c>
      <c r="I19" s="126">
        <v>0.67330000000000001</v>
      </c>
      <c r="J19" s="63" t="s">
        <v>16</v>
      </c>
    </row>
    <row r="20" spans="1:10">
      <c r="A20" s="131"/>
      <c r="B20" s="139" t="s">
        <v>11</v>
      </c>
      <c r="C20" s="122" t="s">
        <v>9</v>
      </c>
      <c r="D20" s="123">
        <v>0.35970000000000002</v>
      </c>
      <c r="E20" s="123">
        <v>0.81040000000000001</v>
      </c>
      <c r="F20" s="123">
        <v>0.19089999999999999</v>
      </c>
      <c r="G20" s="123" t="s">
        <v>22</v>
      </c>
      <c r="H20" s="123">
        <v>0.5766</v>
      </c>
      <c r="I20" s="124">
        <v>0.78790000000000004</v>
      </c>
      <c r="J20" s="64" t="s">
        <v>16</v>
      </c>
    </row>
    <row r="21" spans="1:10">
      <c r="A21" s="131"/>
      <c r="B21" s="140"/>
      <c r="C21" s="21" t="s">
        <v>10</v>
      </c>
      <c r="D21" s="15">
        <v>0.65239999999999998</v>
      </c>
      <c r="E21" s="15">
        <v>0.9113</v>
      </c>
      <c r="F21" s="15">
        <v>0.68200000000000005</v>
      </c>
      <c r="G21" s="15" t="s">
        <v>23</v>
      </c>
      <c r="H21" s="15">
        <v>0.53390000000000004</v>
      </c>
      <c r="I21" s="125">
        <v>0.91200000000000003</v>
      </c>
      <c r="J21" s="62" t="s">
        <v>16</v>
      </c>
    </row>
    <row r="22" spans="1:10" ht="14.5" thickBot="1">
      <c r="A22" s="131"/>
      <c r="B22" s="141"/>
      <c r="C22" s="34" t="s">
        <v>12</v>
      </c>
      <c r="D22" s="35">
        <v>0.47920000000000001</v>
      </c>
      <c r="E22" s="35">
        <v>0.42409999999999998</v>
      </c>
      <c r="F22" s="35">
        <v>0.69930000000000003</v>
      </c>
      <c r="G22" s="35" t="s">
        <v>24</v>
      </c>
      <c r="H22" s="35">
        <v>0.51439999999999997</v>
      </c>
      <c r="I22" s="126">
        <v>0.4254</v>
      </c>
      <c r="J22" s="62" t="s">
        <v>16</v>
      </c>
    </row>
    <row r="23" spans="1:10">
      <c r="A23" s="131"/>
      <c r="B23" s="136" t="s">
        <v>12</v>
      </c>
      <c r="C23" s="122" t="s">
        <v>9</v>
      </c>
      <c r="D23" s="123">
        <v>0.308</v>
      </c>
      <c r="E23" s="123">
        <v>0.72770000000000001</v>
      </c>
      <c r="F23" s="123">
        <v>0.1236</v>
      </c>
      <c r="G23" s="123" t="s">
        <v>25</v>
      </c>
      <c r="H23" s="123">
        <v>0.48130000000000001</v>
      </c>
      <c r="I23" s="124">
        <v>0.73540000000000005</v>
      </c>
      <c r="J23" s="62" t="s">
        <v>16</v>
      </c>
    </row>
    <row r="24" spans="1:10">
      <c r="A24" s="131"/>
      <c r="B24" s="137"/>
      <c r="C24" s="21" t="s">
        <v>10</v>
      </c>
      <c r="D24" s="15">
        <v>0.2802</v>
      </c>
      <c r="E24" s="15">
        <v>0.98929999999999996</v>
      </c>
      <c r="F24" s="15">
        <v>0.20610000000000001</v>
      </c>
      <c r="G24" s="15" t="s">
        <v>26</v>
      </c>
      <c r="H24" s="15">
        <v>0.67789999999999995</v>
      </c>
      <c r="I24" s="125">
        <v>0.95450000000000002</v>
      </c>
      <c r="J24" s="62" t="s">
        <v>16</v>
      </c>
    </row>
    <row r="25" spans="1:10" ht="14.5" thickBot="1">
      <c r="A25" s="132"/>
      <c r="B25" s="142"/>
      <c r="C25" s="34" t="s">
        <v>11</v>
      </c>
      <c r="D25" s="35">
        <v>0.36870000000000003</v>
      </c>
      <c r="E25" s="35">
        <v>0.30840000000000001</v>
      </c>
      <c r="F25" s="35">
        <v>0.21129999999999999</v>
      </c>
      <c r="G25" s="35" t="s">
        <v>27</v>
      </c>
      <c r="H25" s="35">
        <v>0.31159999999999999</v>
      </c>
      <c r="I25" s="126">
        <v>0.38329999999999997</v>
      </c>
      <c r="J25" s="62" t="s">
        <v>16</v>
      </c>
    </row>
    <row r="26" spans="1:10">
      <c r="A26" s="143" t="s">
        <v>42</v>
      </c>
      <c r="B26" s="73" t="s">
        <v>58</v>
      </c>
      <c r="C26" s="122" t="s">
        <v>10</v>
      </c>
      <c r="D26" s="123">
        <v>0.61480000000000001</v>
      </c>
      <c r="E26" s="123">
        <v>0.94889999999999997</v>
      </c>
      <c r="F26" s="123">
        <v>0.60670000000000002</v>
      </c>
      <c r="G26" s="123" t="s">
        <v>30</v>
      </c>
      <c r="H26" s="123">
        <v>0.70850000000000002</v>
      </c>
      <c r="I26" s="124">
        <v>0.95520000000000005</v>
      </c>
      <c r="J26" s="65" t="s">
        <v>16</v>
      </c>
    </row>
    <row r="27" spans="1:10">
      <c r="A27" s="71"/>
      <c r="B27" s="74"/>
      <c r="C27" s="21" t="s">
        <v>11</v>
      </c>
      <c r="D27" s="15">
        <v>0.503</v>
      </c>
      <c r="E27" s="15">
        <v>0.50339999999999996</v>
      </c>
      <c r="F27" s="15">
        <v>0.44929999999999998</v>
      </c>
      <c r="G27" s="15" t="s">
        <v>31</v>
      </c>
      <c r="H27" s="15">
        <v>0.50470000000000004</v>
      </c>
      <c r="I27" s="125">
        <v>0.50149999999999995</v>
      </c>
      <c r="J27" s="62" t="s">
        <v>16</v>
      </c>
    </row>
    <row r="28" spans="1:10" ht="14.5" thickBot="1">
      <c r="A28" s="71"/>
      <c r="B28" s="83"/>
      <c r="C28" s="34" t="s">
        <v>12</v>
      </c>
      <c r="D28" s="35">
        <v>0.58460000000000001</v>
      </c>
      <c r="E28" s="35">
        <v>0.50329999999999997</v>
      </c>
      <c r="F28" s="35">
        <v>0.22309999999999999</v>
      </c>
      <c r="G28" s="35" t="s">
        <v>32</v>
      </c>
      <c r="H28" s="35">
        <v>0.54759999999999998</v>
      </c>
      <c r="I28" s="126">
        <v>0.49640000000000001</v>
      </c>
      <c r="J28" s="66" t="s">
        <v>16</v>
      </c>
    </row>
    <row r="29" spans="1:10">
      <c r="A29" s="71"/>
      <c r="B29" s="76" t="s">
        <v>10</v>
      </c>
      <c r="C29" s="122" t="s">
        <v>9</v>
      </c>
      <c r="D29" s="123">
        <v>0.75</v>
      </c>
      <c r="E29" s="123">
        <v>0.75</v>
      </c>
      <c r="F29" s="123">
        <v>1</v>
      </c>
      <c r="G29" s="123" t="s">
        <v>33</v>
      </c>
      <c r="H29" s="123">
        <v>0.49669999999999997</v>
      </c>
      <c r="I29" s="124">
        <v>0.74809999999999999</v>
      </c>
      <c r="J29" s="64" t="s">
        <v>16</v>
      </c>
    </row>
    <row r="30" spans="1:10">
      <c r="A30" s="71"/>
      <c r="B30" s="76"/>
      <c r="C30" s="21" t="s">
        <v>11</v>
      </c>
      <c r="D30" s="15">
        <v>0.5</v>
      </c>
      <c r="E30" s="15">
        <v>0.5</v>
      </c>
      <c r="F30" s="15">
        <v>1</v>
      </c>
      <c r="G30" s="15" t="s">
        <v>34</v>
      </c>
      <c r="H30" s="15">
        <v>0.48230000000000001</v>
      </c>
      <c r="I30" s="125">
        <v>0.49070000000000003</v>
      </c>
      <c r="J30" s="65" t="s">
        <v>16</v>
      </c>
    </row>
    <row r="31" spans="1:10" ht="14.5" thickBot="1">
      <c r="A31" s="71"/>
      <c r="B31" s="77"/>
      <c r="C31" s="34" t="s">
        <v>12</v>
      </c>
      <c r="D31" s="35">
        <v>0.41660000000000003</v>
      </c>
      <c r="E31" s="35">
        <v>0.41660000000000003</v>
      </c>
      <c r="F31" s="35">
        <v>1</v>
      </c>
      <c r="G31" s="35" t="s">
        <v>35</v>
      </c>
      <c r="H31" s="35">
        <v>0.61519999999999997</v>
      </c>
      <c r="I31" s="126">
        <v>0.48799999999999999</v>
      </c>
      <c r="J31" s="66" t="s">
        <v>16</v>
      </c>
    </row>
    <row r="32" spans="1:10">
      <c r="A32" s="71"/>
      <c r="B32" s="84" t="s">
        <v>11</v>
      </c>
      <c r="C32" s="122" t="s">
        <v>9</v>
      </c>
      <c r="D32" s="123">
        <v>0.36820000000000003</v>
      </c>
      <c r="E32" s="123">
        <v>0.75760000000000005</v>
      </c>
      <c r="F32" s="123">
        <v>0.23169999999999999</v>
      </c>
      <c r="G32" s="123" t="s">
        <v>36</v>
      </c>
      <c r="H32" s="123">
        <v>0.52810000000000001</v>
      </c>
      <c r="I32" s="124">
        <v>0.75260000000000005</v>
      </c>
      <c r="J32" s="64" t="s">
        <v>16</v>
      </c>
    </row>
    <row r="33" spans="1:10" ht="14.5" thickBot="1">
      <c r="A33" s="71"/>
      <c r="B33" s="78"/>
      <c r="C33" s="21" t="s">
        <v>10</v>
      </c>
      <c r="D33" s="15">
        <v>0.87770000000000004</v>
      </c>
      <c r="E33" s="15">
        <v>0.90539999999999998</v>
      </c>
      <c r="F33" s="15">
        <v>0.9657</v>
      </c>
      <c r="G33" s="15" t="s">
        <v>37</v>
      </c>
      <c r="H33" s="15">
        <v>0.50329999999999997</v>
      </c>
      <c r="I33" s="125">
        <v>0.90469999999999995</v>
      </c>
      <c r="J33" s="66" t="s">
        <v>16</v>
      </c>
    </row>
    <row r="34" spans="1:10" ht="14.5" thickBot="1">
      <c r="A34" s="71"/>
      <c r="B34" s="79"/>
      <c r="C34" s="34" t="s">
        <v>12</v>
      </c>
      <c r="D34" s="35">
        <v>0.44529999999999997</v>
      </c>
      <c r="E34" s="35">
        <v>0.42120000000000002</v>
      </c>
      <c r="F34" s="35">
        <v>0.88649999999999995</v>
      </c>
      <c r="G34" s="35" t="s">
        <v>38</v>
      </c>
      <c r="H34" s="35">
        <v>0.50990000000000002</v>
      </c>
      <c r="I34" s="126">
        <v>0.42220000000000002</v>
      </c>
      <c r="J34" s="67" t="s">
        <v>16</v>
      </c>
    </row>
    <row r="35" spans="1:10">
      <c r="A35" s="71"/>
      <c r="B35" s="75" t="s">
        <v>12</v>
      </c>
      <c r="C35" s="122" t="s">
        <v>9</v>
      </c>
      <c r="D35" s="123">
        <v>0.35439999999999999</v>
      </c>
      <c r="E35" s="123">
        <v>0.70820000000000005</v>
      </c>
      <c r="F35" s="123">
        <v>0.23669999999999999</v>
      </c>
      <c r="G35" s="123" t="s">
        <v>39</v>
      </c>
      <c r="H35" s="123">
        <v>0.47839999999999999</v>
      </c>
      <c r="I35" s="124">
        <v>0.72050000000000003</v>
      </c>
      <c r="J35" s="64" t="s">
        <v>16</v>
      </c>
    </row>
    <row r="36" spans="1:10">
      <c r="A36" s="71"/>
      <c r="B36" s="76"/>
      <c r="C36" s="21" t="s">
        <v>10</v>
      </c>
      <c r="D36" s="15">
        <v>0.32179999999999997</v>
      </c>
      <c r="E36" s="15">
        <v>0.9849</v>
      </c>
      <c r="F36" s="15">
        <v>0.25380000000000003</v>
      </c>
      <c r="G36" s="15" t="s">
        <v>40</v>
      </c>
      <c r="H36" s="15">
        <v>0.74160000000000004</v>
      </c>
      <c r="I36" s="125">
        <v>0.96330000000000005</v>
      </c>
      <c r="J36" s="62" t="s">
        <v>16</v>
      </c>
    </row>
    <row r="37" spans="1:10" ht="14.5" thickBot="1">
      <c r="A37" s="72"/>
      <c r="B37" s="77"/>
      <c r="C37" s="34" t="s">
        <v>11</v>
      </c>
      <c r="D37" s="35">
        <v>0.42399999999999999</v>
      </c>
      <c r="E37" s="35">
        <v>0.45200000000000001</v>
      </c>
      <c r="F37" s="35">
        <v>0.71599999999999997</v>
      </c>
      <c r="G37" s="35" t="s">
        <v>41</v>
      </c>
      <c r="H37" s="35">
        <v>0.33629999999999999</v>
      </c>
      <c r="I37" s="126">
        <v>0.39479999999999998</v>
      </c>
      <c r="J37" s="62" t="s">
        <v>16</v>
      </c>
    </row>
    <row r="38" spans="1:10">
      <c r="A38" s="143" t="s">
        <v>43</v>
      </c>
      <c r="B38" s="73" t="s">
        <v>58</v>
      </c>
      <c r="C38" s="122" t="s">
        <v>10</v>
      </c>
      <c r="D38" s="123">
        <v>0.31759999999999999</v>
      </c>
      <c r="E38" s="123">
        <v>0.90449999999999997</v>
      </c>
      <c r="F38" s="123">
        <v>0.2742</v>
      </c>
      <c r="G38" s="123">
        <v>0.42082616441842702</v>
      </c>
      <c r="H38" s="123">
        <v>0.5081</v>
      </c>
      <c r="I38" s="124">
        <v>0.90649999999999997</v>
      </c>
      <c r="J38" s="52"/>
    </row>
    <row r="39" spans="1:10">
      <c r="A39" s="71"/>
      <c r="B39" s="74"/>
      <c r="C39" s="21" t="s">
        <v>11</v>
      </c>
      <c r="D39" s="15">
        <v>0.49969999999999998</v>
      </c>
      <c r="E39" s="15">
        <v>0.49959999999999999</v>
      </c>
      <c r="F39" s="15">
        <v>0.442</v>
      </c>
      <c r="G39" s="15">
        <v>0.46903823279524215</v>
      </c>
      <c r="H39" s="15">
        <v>0.50890000000000002</v>
      </c>
      <c r="I39" s="125">
        <v>0.48580000000000001</v>
      </c>
      <c r="J39" s="53"/>
    </row>
    <row r="40" spans="1:10" ht="14.5" thickBot="1">
      <c r="A40" s="71"/>
      <c r="B40" s="83"/>
      <c r="C40" s="34" t="s">
        <v>12</v>
      </c>
      <c r="D40" s="35">
        <v>0.55030000000000001</v>
      </c>
      <c r="E40" s="35">
        <v>0.41770000000000002</v>
      </c>
      <c r="F40" s="35">
        <v>0.20169999999999999</v>
      </c>
      <c r="G40" s="35">
        <v>0.27203774620600585</v>
      </c>
      <c r="H40" s="35">
        <v>0.47810000000000002</v>
      </c>
      <c r="I40" s="126">
        <v>0.4128</v>
      </c>
      <c r="J40" s="68"/>
    </row>
    <row r="41" spans="1:10">
      <c r="A41" s="71"/>
      <c r="B41" s="75" t="s">
        <v>10</v>
      </c>
      <c r="C41" s="122" t="s">
        <v>9</v>
      </c>
      <c r="D41" s="123">
        <v>0.64259999999999995</v>
      </c>
      <c r="E41" s="123">
        <v>0.76939999999999997</v>
      </c>
      <c r="F41" s="123">
        <v>0.74739999999999995</v>
      </c>
      <c r="G41" s="123">
        <v>0.75824045358649783</v>
      </c>
      <c r="H41" s="123">
        <v>0.55779999999999996</v>
      </c>
      <c r="I41" s="124">
        <v>0.7752</v>
      </c>
      <c r="J41" s="51"/>
    </row>
    <row r="42" spans="1:10">
      <c r="A42" s="71"/>
      <c r="B42" s="76"/>
      <c r="C42" s="21" t="s">
        <v>11</v>
      </c>
      <c r="D42" s="15">
        <v>0.49669999999999997</v>
      </c>
      <c r="E42" s="15">
        <v>0.49830000000000002</v>
      </c>
      <c r="F42" s="15">
        <v>0.96199999999999997</v>
      </c>
      <c r="G42" s="15">
        <v>0.65652893241114851</v>
      </c>
      <c r="H42" s="15">
        <v>0.50660000000000005</v>
      </c>
      <c r="I42" s="125">
        <v>0.50370000000000004</v>
      </c>
      <c r="J42" s="53"/>
    </row>
    <row r="43" spans="1:10" ht="14.5" thickBot="1">
      <c r="A43" s="71"/>
      <c r="B43" s="77"/>
      <c r="C43" s="34" t="s">
        <v>12</v>
      </c>
      <c r="D43" s="35">
        <v>0.55310000000000004</v>
      </c>
      <c r="E43" s="35">
        <v>0.48080000000000001</v>
      </c>
      <c r="F43" s="35">
        <v>0.90880000000000005</v>
      </c>
      <c r="G43" s="35">
        <v>0.62888750719631548</v>
      </c>
      <c r="H43" s="35">
        <v>0.71240000000000003</v>
      </c>
      <c r="I43" s="126">
        <v>0.59019999999999995</v>
      </c>
      <c r="J43" s="54"/>
    </row>
    <row r="44" spans="1:10">
      <c r="A44" s="71"/>
      <c r="B44" s="78" t="s">
        <v>11</v>
      </c>
      <c r="C44" s="122" t="s">
        <v>9</v>
      </c>
      <c r="D44" s="123">
        <v>0.67210000000000003</v>
      </c>
      <c r="E44" s="123">
        <v>0.748</v>
      </c>
      <c r="F44" s="123">
        <v>0.84870000000000001</v>
      </c>
      <c r="G44" s="123">
        <v>0.79517454750422756</v>
      </c>
      <c r="H44" s="123">
        <v>0.44390000000000002</v>
      </c>
      <c r="I44" s="124">
        <v>0.71240000000000003</v>
      </c>
      <c r="J44" s="69"/>
    </row>
    <row r="45" spans="1:10">
      <c r="A45" s="71"/>
      <c r="B45" s="78"/>
      <c r="C45" s="21" t="s">
        <v>10</v>
      </c>
      <c r="D45" s="15">
        <v>0.75890000000000002</v>
      </c>
      <c r="E45" s="15">
        <v>0.89939999999999998</v>
      </c>
      <c r="F45" s="15">
        <v>0.82579999999999998</v>
      </c>
      <c r="G45" s="15">
        <v>0.86103004869000688</v>
      </c>
      <c r="H45" s="15">
        <v>0.46250000000000002</v>
      </c>
      <c r="I45" s="125">
        <v>0.89570000000000005</v>
      </c>
      <c r="J45" s="52"/>
    </row>
    <row r="46" spans="1:10" ht="14.5" thickBot="1">
      <c r="A46" s="71"/>
      <c r="B46" s="79"/>
      <c r="C46" s="34" t="s">
        <v>12</v>
      </c>
      <c r="D46" s="35">
        <v>0.39879999999999999</v>
      </c>
      <c r="E46" s="35">
        <v>0.37080000000000002</v>
      </c>
      <c r="F46" s="35">
        <v>0.63629999999999998</v>
      </c>
      <c r="G46" s="35">
        <v>0.46855335120643438</v>
      </c>
      <c r="H46" s="35">
        <v>0.40939999999999999</v>
      </c>
      <c r="I46" s="126">
        <v>0.36170000000000002</v>
      </c>
      <c r="J46" s="54"/>
    </row>
    <row r="47" spans="1:10">
      <c r="A47" s="71"/>
      <c r="B47" s="76" t="s">
        <v>12</v>
      </c>
      <c r="C47" s="122" t="s">
        <v>9</v>
      </c>
      <c r="D47" s="123">
        <v>0.25890000000000002</v>
      </c>
      <c r="E47" s="123">
        <v>0.55730000000000002</v>
      </c>
      <c r="F47" s="123">
        <v>5.8000000000000003E-2</v>
      </c>
      <c r="G47" s="123">
        <v>0.10506549650576953</v>
      </c>
      <c r="H47" s="123">
        <v>0.3846</v>
      </c>
      <c r="I47" s="124">
        <v>0.67669999999999997</v>
      </c>
      <c r="J47" s="69"/>
    </row>
    <row r="48" spans="1:10">
      <c r="A48" s="71"/>
      <c r="B48" s="76"/>
      <c r="C48" s="21" t="s">
        <v>10</v>
      </c>
      <c r="D48" s="15">
        <v>0.23019999999999999</v>
      </c>
      <c r="E48" s="15">
        <v>0.9819</v>
      </c>
      <c r="F48" s="15">
        <v>0.15140000000000001</v>
      </c>
      <c r="G48" s="15">
        <v>0.26234829259684112</v>
      </c>
      <c r="H48" s="15">
        <v>0.70840000000000003</v>
      </c>
      <c r="I48" s="125">
        <v>0.95389999999999997</v>
      </c>
      <c r="J48" s="52"/>
    </row>
    <row r="49" spans="1:10" ht="14.5" thickBot="1">
      <c r="A49" s="72"/>
      <c r="B49" s="77"/>
      <c r="C49" s="34" t="s">
        <v>11</v>
      </c>
      <c r="D49" s="35">
        <v>0.46300000000000002</v>
      </c>
      <c r="E49" s="35">
        <v>0.47520000000000001</v>
      </c>
      <c r="F49" s="35">
        <v>0.71</v>
      </c>
      <c r="G49" s="35">
        <v>0.56934188322645962</v>
      </c>
      <c r="H49" s="35">
        <v>0.42709999999999998</v>
      </c>
      <c r="I49" s="126">
        <v>0.44409999999999999</v>
      </c>
      <c r="J49" s="53"/>
    </row>
    <row r="50" spans="1:10">
      <c r="A50" s="143" t="s">
        <v>44</v>
      </c>
      <c r="B50" s="73" t="s">
        <v>58</v>
      </c>
      <c r="C50" s="122" t="s">
        <v>10</v>
      </c>
      <c r="D50" s="123">
        <v>0.8448</v>
      </c>
      <c r="E50" s="123">
        <v>0.92659999999999998</v>
      </c>
      <c r="F50" s="123">
        <v>0.89959999999999996</v>
      </c>
      <c r="G50" s="123">
        <v>0.91290040521301052</v>
      </c>
      <c r="H50" s="123">
        <v>0.71130000000000004</v>
      </c>
      <c r="I50" s="124">
        <v>0.95040000000000002</v>
      </c>
      <c r="J50" s="52"/>
    </row>
    <row r="51" spans="1:10">
      <c r="A51" s="71"/>
      <c r="B51" s="74"/>
      <c r="C51" s="21" t="s">
        <v>11</v>
      </c>
      <c r="D51" s="15">
        <v>0.51870000000000005</v>
      </c>
      <c r="E51" s="15">
        <v>0.5161</v>
      </c>
      <c r="F51" s="15">
        <v>0.6</v>
      </c>
      <c r="G51" s="15">
        <v>0.55489651464922507</v>
      </c>
      <c r="H51" s="15">
        <v>0.52100000000000002</v>
      </c>
      <c r="I51" s="125">
        <v>0.50600000000000001</v>
      </c>
      <c r="J51" s="53"/>
    </row>
    <row r="52" spans="1:10" ht="14.5" thickBot="1">
      <c r="A52" s="71"/>
      <c r="B52" s="83"/>
      <c r="C52" s="34" t="s">
        <v>12</v>
      </c>
      <c r="D52" s="35">
        <v>0.4945</v>
      </c>
      <c r="E52" s="35">
        <v>0.44169999999999998</v>
      </c>
      <c r="F52" s="35">
        <v>0.80889999999999995</v>
      </c>
      <c r="G52" s="35">
        <v>0.57139154006077075</v>
      </c>
      <c r="H52" s="35">
        <v>0.57920000000000005</v>
      </c>
      <c r="I52" s="126">
        <v>0.4763</v>
      </c>
      <c r="J52" s="54"/>
    </row>
    <row r="53" spans="1:10">
      <c r="A53" s="71"/>
      <c r="B53" s="75" t="s">
        <v>10</v>
      </c>
      <c r="C53" s="122" t="s">
        <v>9</v>
      </c>
      <c r="D53" s="123">
        <v>0.32890000000000003</v>
      </c>
      <c r="E53" s="123">
        <v>0.85829999999999995</v>
      </c>
      <c r="F53" s="123">
        <v>0.12609999999999999</v>
      </c>
      <c r="G53" s="123">
        <v>0.21989360016253554</v>
      </c>
      <c r="H53" s="123">
        <v>0.53979999999999995</v>
      </c>
      <c r="I53" s="124">
        <v>0.79549999999999998</v>
      </c>
      <c r="J53" s="51"/>
    </row>
    <row r="54" spans="1:10">
      <c r="A54" s="71"/>
      <c r="B54" s="76"/>
      <c r="C54" s="21" t="s">
        <v>11</v>
      </c>
      <c r="D54" s="15">
        <v>0.49070000000000003</v>
      </c>
      <c r="E54" s="15">
        <v>0.49330000000000002</v>
      </c>
      <c r="F54" s="15">
        <v>0.68730000000000002</v>
      </c>
      <c r="G54" s="15">
        <v>0.57436064712857871</v>
      </c>
      <c r="H54" s="15">
        <v>0.4662</v>
      </c>
      <c r="I54" s="125">
        <v>0.4743</v>
      </c>
      <c r="J54" s="53"/>
    </row>
    <row r="55" spans="1:10" ht="14.5" thickBot="1">
      <c r="A55" s="71"/>
      <c r="B55" s="77"/>
      <c r="C55" s="34" t="s">
        <v>12</v>
      </c>
      <c r="D55" s="35">
        <v>0.70340000000000003</v>
      </c>
      <c r="E55" s="35">
        <v>0.60360000000000003</v>
      </c>
      <c r="F55" s="35">
        <v>0.83899999999999997</v>
      </c>
      <c r="G55" s="35">
        <v>0.70209399694995145</v>
      </c>
      <c r="H55" s="35">
        <v>0.79830000000000001</v>
      </c>
      <c r="I55" s="126">
        <v>0.69399999999999995</v>
      </c>
      <c r="J55" s="54"/>
    </row>
    <row r="56" spans="1:10">
      <c r="A56" s="71"/>
      <c r="B56" s="84" t="s">
        <v>11</v>
      </c>
      <c r="C56" s="122" t="s">
        <v>9</v>
      </c>
      <c r="D56" s="123">
        <v>0.755</v>
      </c>
      <c r="E56" s="123">
        <v>0.75570000000000004</v>
      </c>
      <c r="F56" s="123">
        <v>0.995</v>
      </c>
      <c r="G56" s="123">
        <v>0.85899525903924134</v>
      </c>
      <c r="H56" s="123">
        <v>0.56489999999999996</v>
      </c>
      <c r="I56" s="124">
        <v>0.77559999999999996</v>
      </c>
      <c r="J56" s="51"/>
    </row>
    <row r="57" spans="1:10">
      <c r="A57" s="71"/>
      <c r="B57" s="78"/>
      <c r="C57" s="21" t="s">
        <v>10</v>
      </c>
      <c r="D57" s="15">
        <v>0.85929999999999995</v>
      </c>
      <c r="E57" s="15">
        <v>0.90249999999999997</v>
      </c>
      <c r="F57" s="15">
        <v>0.9466</v>
      </c>
      <c r="G57" s="15">
        <v>0.92402411984208532</v>
      </c>
      <c r="H57" s="15">
        <v>0.4703</v>
      </c>
      <c r="I57" s="125">
        <v>0.89870000000000005</v>
      </c>
      <c r="J57" s="52"/>
    </row>
    <row r="58" spans="1:10" ht="14.5" thickBot="1">
      <c r="A58" s="71"/>
      <c r="B58" s="79"/>
      <c r="C58" s="34" t="s">
        <v>12</v>
      </c>
      <c r="D58" s="35">
        <v>0.46989999999999998</v>
      </c>
      <c r="E58" s="35">
        <v>0.42659999999999998</v>
      </c>
      <c r="F58" s="35">
        <v>0.79239999999999999</v>
      </c>
      <c r="G58" s="35">
        <v>0.55461499589827734</v>
      </c>
      <c r="H58" s="35">
        <v>0.54190000000000005</v>
      </c>
      <c r="I58" s="126">
        <v>0.44519999999999998</v>
      </c>
      <c r="J58" s="54"/>
    </row>
    <row r="59" spans="1:10">
      <c r="A59" s="71"/>
      <c r="B59" s="75" t="s">
        <v>12</v>
      </c>
      <c r="C59" s="122" t="s">
        <v>9</v>
      </c>
      <c r="D59" s="123">
        <v>0.46970000000000001</v>
      </c>
      <c r="E59" s="123">
        <v>0.74760000000000004</v>
      </c>
      <c r="F59" s="123">
        <v>0.44230000000000003</v>
      </c>
      <c r="G59" s="123">
        <v>0.55578364568451133</v>
      </c>
      <c r="H59" s="123">
        <v>0.50829999999999997</v>
      </c>
      <c r="I59" s="124">
        <v>0.7369</v>
      </c>
      <c r="J59" s="51"/>
    </row>
    <row r="60" spans="1:10">
      <c r="A60" s="71"/>
      <c r="B60" s="76"/>
      <c r="C60" s="21" t="s">
        <v>10</v>
      </c>
      <c r="D60" s="15">
        <v>0.2079</v>
      </c>
      <c r="E60" s="15">
        <v>0.98129999999999995</v>
      </c>
      <c r="F60" s="15">
        <v>0.1263</v>
      </c>
      <c r="G60" s="15">
        <v>0.22379593716143012</v>
      </c>
      <c r="H60" s="15">
        <v>0.70779999999999998</v>
      </c>
      <c r="I60" s="125">
        <v>0.95569999999999999</v>
      </c>
      <c r="J60" s="52"/>
    </row>
    <row r="61" spans="1:10" ht="14.5" thickBot="1">
      <c r="A61" s="72"/>
      <c r="B61" s="77"/>
      <c r="C61" s="34" t="s">
        <v>11</v>
      </c>
      <c r="D61" s="35">
        <v>0.35670000000000002</v>
      </c>
      <c r="E61" s="35">
        <v>0.3024</v>
      </c>
      <c r="F61" s="35">
        <v>0.21929999999999999</v>
      </c>
      <c r="G61" s="35">
        <v>0.25423162737205285</v>
      </c>
      <c r="H61" s="35">
        <v>0.31919999999999998</v>
      </c>
      <c r="I61" s="126">
        <v>0.38290000000000002</v>
      </c>
      <c r="J61" s="53"/>
    </row>
    <row r="62" spans="1:10">
      <c r="A62" s="143" t="s">
        <v>60</v>
      </c>
      <c r="B62" s="73" t="s">
        <v>9</v>
      </c>
      <c r="C62" s="122" t="s">
        <v>10</v>
      </c>
      <c r="D62" s="123">
        <v>0.74886799999999998</v>
      </c>
      <c r="E62" s="123">
        <v>0.92527899999999996</v>
      </c>
      <c r="F62" s="123">
        <v>0.78571400000000002</v>
      </c>
      <c r="G62" s="123">
        <v>0.849804</v>
      </c>
      <c r="H62" s="123">
        <v>0.64402899999999996</v>
      </c>
      <c r="I62" s="124">
        <v>0.94040400000000002</v>
      </c>
      <c r="J62" s="52">
        <v>0.39877400000000002</v>
      </c>
    </row>
    <row r="63" spans="1:10">
      <c r="A63" s="71"/>
      <c r="B63" s="74" t="s">
        <v>9</v>
      </c>
      <c r="C63" s="21" t="s">
        <v>11</v>
      </c>
      <c r="D63" s="15">
        <v>0.54400000000000004</v>
      </c>
      <c r="E63" s="15">
        <v>0.53868700000000003</v>
      </c>
      <c r="F63" s="15">
        <v>0.61266699999999996</v>
      </c>
      <c r="G63" s="15">
        <v>0.57330000000000003</v>
      </c>
      <c r="H63" s="15">
        <v>0.57524600000000004</v>
      </c>
      <c r="I63" s="125">
        <v>0.61024699999999998</v>
      </c>
      <c r="J63" s="53">
        <v>0.45066699999999998</v>
      </c>
    </row>
    <row r="64" spans="1:10" ht="14.5" thickBot="1">
      <c r="A64" s="71"/>
      <c r="B64" s="74" t="s">
        <v>9</v>
      </c>
      <c r="C64" s="34" t="s">
        <v>12</v>
      </c>
      <c r="D64" s="35">
        <v>0.80522300000000002</v>
      </c>
      <c r="E64" s="35">
        <v>0.44086700000000001</v>
      </c>
      <c r="F64" s="35">
        <v>0.65082399999999996</v>
      </c>
      <c r="G64" s="35">
        <v>0.52565600000000001</v>
      </c>
      <c r="H64" s="35">
        <v>0.54768300000000003</v>
      </c>
      <c r="I64" s="126">
        <v>0.46169100000000002</v>
      </c>
      <c r="J64" s="68">
        <v>0.46879599999999999</v>
      </c>
    </row>
    <row r="65" spans="1:10">
      <c r="A65" s="71"/>
      <c r="B65" s="75" t="s">
        <v>10</v>
      </c>
      <c r="C65" s="122" t="s">
        <v>9</v>
      </c>
      <c r="D65" s="123">
        <v>0.58611100000000005</v>
      </c>
      <c r="E65" s="123">
        <v>0.77018600000000004</v>
      </c>
      <c r="F65" s="123">
        <v>0.638741</v>
      </c>
      <c r="G65" s="123">
        <v>0.69833199999999995</v>
      </c>
      <c r="H65" s="123">
        <v>0.58406599999999997</v>
      </c>
      <c r="I65" s="124">
        <v>0.82426100000000002</v>
      </c>
      <c r="J65" s="51">
        <v>0.45618500000000001</v>
      </c>
    </row>
    <row r="66" spans="1:10">
      <c r="A66" s="71"/>
      <c r="B66" s="76" t="s">
        <v>10</v>
      </c>
      <c r="C66" s="21" t="s">
        <v>11</v>
      </c>
      <c r="D66" s="15">
        <v>0.42866700000000002</v>
      </c>
      <c r="E66" s="15">
        <v>0.45018599999999998</v>
      </c>
      <c r="F66" s="15">
        <v>0.64466699999999999</v>
      </c>
      <c r="G66" s="15">
        <v>0.53015400000000001</v>
      </c>
      <c r="H66" s="15">
        <v>0.437942</v>
      </c>
      <c r="I66" s="125">
        <v>0.47732599999999997</v>
      </c>
      <c r="J66" s="53">
        <v>0.54233299999999995</v>
      </c>
    </row>
    <row r="67" spans="1:10" ht="14.5" thickBot="1">
      <c r="A67" s="71"/>
      <c r="B67" s="77" t="s">
        <v>10</v>
      </c>
      <c r="C67" s="34" t="s">
        <v>12</v>
      </c>
      <c r="D67" s="35">
        <v>0.54545500000000002</v>
      </c>
      <c r="E67" s="35">
        <v>0.47698299999999999</v>
      </c>
      <c r="F67" s="35">
        <v>0.94471400000000005</v>
      </c>
      <c r="G67" s="35">
        <v>0.63390800000000003</v>
      </c>
      <c r="H67" s="35">
        <v>0.78311500000000001</v>
      </c>
      <c r="I67" s="126">
        <v>0.71491899999999997</v>
      </c>
      <c r="J67" s="54">
        <v>0.27838200000000002</v>
      </c>
    </row>
    <row r="68" spans="1:10">
      <c r="A68" s="71"/>
      <c r="B68" s="78" t="s">
        <v>11</v>
      </c>
      <c r="C68" s="122" t="s">
        <v>9</v>
      </c>
      <c r="D68" s="123">
        <v>0.755</v>
      </c>
      <c r="E68" s="123">
        <v>0.76393699999999998</v>
      </c>
      <c r="F68" s="123">
        <v>0.97444399999999998</v>
      </c>
      <c r="G68" s="123">
        <v>0.85644500000000001</v>
      </c>
      <c r="H68" s="123">
        <v>0.62361900000000003</v>
      </c>
      <c r="I68" s="124">
        <v>0.82022799999999996</v>
      </c>
      <c r="J68" s="69">
        <v>0.42103699999999999</v>
      </c>
    </row>
    <row r="69" spans="1:10">
      <c r="A69" s="71"/>
      <c r="B69" s="78" t="s">
        <v>11</v>
      </c>
      <c r="C69" s="21" t="s">
        <v>10</v>
      </c>
      <c r="D69" s="15">
        <v>0.88441499999999995</v>
      </c>
      <c r="E69" s="15">
        <v>0.90630900000000003</v>
      </c>
      <c r="F69" s="15">
        <v>0.97272700000000001</v>
      </c>
      <c r="G69" s="15">
        <v>0.93834499999999998</v>
      </c>
      <c r="H69" s="15">
        <v>0.51993699999999998</v>
      </c>
      <c r="I69" s="125">
        <v>0.90760200000000002</v>
      </c>
      <c r="J69" s="52">
        <v>0.49443100000000001</v>
      </c>
    </row>
    <row r="70" spans="1:10" ht="14.5" thickBot="1">
      <c r="A70" s="71"/>
      <c r="B70" s="79" t="s">
        <v>11</v>
      </c>
      <c r="C70" s="34" t="s">
        <v>12</v>
      </c>
      <c r="D70" s="35">
        <v>0.44565700000000003</v>
      </c>
      <c r="E70" s="35">
        <v>0.41938500000000001</v>
      </c>
      <c r="F70" s="35">
        <v>0.86033000000000004</v>
      </c>
      <c r="G70" s="35">
        <v>0.56389100000000003</v>
      </c>
      <c r="H70" s="35">
        <v>0.528227</v>
      </c>
      <c r="I70" s="126">
        <v>0.43273600000000001</v>
      </c>
      <c r="J70" s="54">
        <v>0.473159</v>
      </c>
    </row>
    <row r="71" spans="1:10">
      <c r="A71" s="71"/>
      <c r="B71" s="76" t="s">
        <v>12</v>
      </c>
      <c r="C71" s="122" t="s">
        <v>9</v>
      </c>
      <c r="D71" s="123">
        <v>0.38261099999999998</v>
      </c>
      <c r="E71" s="123">
        <v>0.74694799999999995</v>
      </c>
      <c r="F71" s="123">
        <v>0.26740700000000001</v>
      </c>
      <c r="G71" s="123">
        <v>0.39382499999999998</v>
      </c>
      <c r="H71" s="123">
        <v>0.46611599999999997</v>
      </c>
      <c r="I71" s="124">
        <v>0.74202800000000002</v>
      </c>
      <c r="J71" s="69">
        <v>0.52529599999999999</v>
      </c>
    </row>
    <row r="72" spans="1:10">
      <c r="A72" s="71"/>
      <c r="B72" s="76" t="s">
        <v>12</v>
      </c>
      <c r="C72" s="21" t="s">
        <v>10</v>
      </c>
      <c r="D72" s="15">
        <v>0.23553099999999999</v>
      </c>
      <c r="E72" s="15">
        <v>0.98827699999999996</v>
      </c>
      <c r="F72" s="15">
        <v>0.15640100000000001</v>
      </c>
      <c r="G72" s="15">
        <v>0.27006200000000002</v>
      </c>
      <c r="H72" s="15">
        <v>0.71006599999999997</v>
      </c>
      <c r="I72" s="125">
        <v>0.95599299999999998</v>
      </c>
      <c r="J72" s="52">
        <v>0.353877</v>
      </c>
    </row>
    <row r="73" spans="1:10" ht="14.5" thickBot="1">
      <c r="A73" s="72"/>
      <c r="B73" s="77" t="s">
        <v>12</v>
      </c>
      <c r="C73" s="34" t="s">
        <v>11</v>
      </c>
      <c r="D73" s="35">
        <v>0.41166700000000001</v>
      </c>
      <c r="E73" s="35">
        <v>0.38367000000000001</v>
      </c>
      <c r="F73" s="35">
        <v>0.29133300000000001</v>
      </c>
      <c r="G73" s="35">
        <v>0.33118599999999998</v>
      </c>
      <c r="H73" s="35">
        <v>0.36916700000000002</v>
      </c>
      <c r="I73" s="126">
        <v>0.42511399999999999</v>
      </c>
      <c r="J73" s="53">
        <v>0.59366699999999994</v>
      </c>
    </row>
    <row r="74" spans="1:10">
      <c r="A74" s="143" t="s">
        <v>61</v>
      </c>
      <c r="B74" s="73" t="s">
        <v>9</v>
      </c>
      <c r="C74" s="122" t="s">
        <v>10</v>
      </c>
      <c r="D74" s="123">
        <v>0.47173300000000001</v>
      </c>
      <c r="E74" s="123">
        <v>0.90968899999999997</v>
      </c>
      <c r="F74" s="123">
        <v>0.46159600000000001</v>
      </c>
      <c r="G74" s="123">
        <v>0.61243099999999995</v>
      </c>
      <c r="H74" s="123">
        <v>0.525532</v>
      </c>
      <c r="I74" s="124">
        <v>0.90549599999999997</v>
      </c>
      <c r="J74" s="52">
        <v>0.48277599999999998</v>
      </c>
    </row>
    <row r="75" spans="1:10">
      <c r="A75" s="71"/>
      <c r="B75" s="74" t="s">
        <v>9</v>
      </c>
      <c r="C75" s="21" t="s">
        <v>11</v>
      </c>
      <c r="D75" s="15">
        <v>0.52900000000000003</v>
      </c>
      <c r="E75" s="15">
        <v>0.52269200000000005</v>
      </c>
      <c r="F75" s="15">
        <v>0.66800000000000004</v>
      </c>
      <c r="G75" s="15">
        <v>0.58647899999999997</v>
      </c>
      <c r="H75" s="15">
        <v>0.52268400000000004</v>
      </c>
      <c r="I75" s="125">
        <v>0.51280199999999998</v>
      </c>
      <c r="J75" s="53">
        <v>0.48766700000000002</v>
      </c>
    </row>
    <row r="76" spans="1:10" ht="14.5" thickBot="1">
      <c r="A76" s="71"/>
      <c r="B76" s="74" t="s">
        <v>9</v>
      </c>
      <c r="C76" s="34" t="s">
        <v>12</v>
      </c>
      <c r="D76" s="35">
        <v>0.566465</v>
      </c>
      <c r="E76" s="35">
        <v>0.48205100000000001</v>
      </c>
      <c r="F76" s="35">
        <v>0.54704200000000003</v>
      </c>
      <c r="G76" s="35">
        <v>0.51249400000000001</v>
      </c>
      <c r="H76" s="35">
        <v>0.57616299999999998</v>
      </c>
      <c r="I76" s="126">
        <v>0.47075600000000001</v>
      </c>
      <c r="J76" s="68">
        <v>0.43353900000000001</v>
      </c>
    </row>
    <row r="77" spans="1:10">
      <c r="A77" s="71"/>
      <c r="B77" s="75" t="s">
        <v>10</v>
      </c>
      <c r="C77" s="122" t="s">
        <v>9</v>
      </c>
      <c r="D77" s="123">
        <v>0.55005599999999999</v>
      </c>
      <c r="E77" s="123">
        <v>0.82500899999999999</v>
      </c>
      <c r="F77" s="123">
        <v>0.50777799999999995</v>
      </c>
      <c r="G77" s="123">
        <v>0.62863999999999998</v>
      </c>
      <c r="H77" s="123">
        <v>0.61633499999999997</v>
      </c>
      <c r="I77" s="124">
        <v>0.83372500000000005</v>
      </c>
      <c r="J77" s="51">
        <v>0.40840700000000002</v>
      </c>
    </row>
    <row r="78" spans="1:10">
      <c r="A78" s="71"/>
      <c r="B78" s="76" t="s">
        <v>10</v>
      </c>
      <c r="C78" s="21" t="s">
        <v>11</v>
      </c>
      <c r="D78" s="15">
        <v>0.46800000000000003</v>
      </c>
      <c r="E78" s="15">
        <v>0.48014899999999999</v>
      </c>
      <c r="F78" s="15">
        <v>0.77400000000000002</v>
      </c>
      <c r="G78" s="15">
        <v>0.59264899999999998</v>
      </c>
      <c r="H78" s="15">
        <v>0.43593799999999999</v>
      </c>
      <c r="I78" s="125">
        <v>0.46856599999999998</v>
      </c>
      <c r="J78" s="53">
        <v>0.56033299999999997</v>
      </c>
    </row>
    <row r="79" spans="1:10" ht="14.5" thickBot="1">
      <c r="A79" s="71"/>
      <c r="B79" s="77" t="s">
        <v>10</v>
      </c>
      <c r="C79" s="34" t="s">
        <v>12</v>
      </c>
      <c r="D79" s="35">
        <v>0.55959599999999998</v>
      </c>
      <c r="E79" s="35">
        <v>0.48352899999999999</v>
      </c>
      <c r="F79" s="35">
        <v>0.83996099999999996</v>
      </c>
      <c r="G79" s="35">
        <v>0.61374899999999999</v>
      </c>
      <c r="H79" s="35">
        <v>0.70848699999999998</v>
      </c>
      <c r="I79" s="126">
        <v>0.61626099999999995</v>
      </c>
      <c r="J79" s="54">
        <v>0.32437500000000002</v>
      </c>
    </row>
    <row r="80" spans="1:10">
      <c r="A80" s="71"/>
      <c r="B80" s="78" t="s">
        <v>11</v>
      </c>
      <c r="C80" s="122" t="s">
        <v>9</v>
      </c>
      <c r="D80" s="123">
        <v>0.60255599999999998</v>
      </c>
      <c r="E80" s="123">
        <v>0.74403900000000001</v>
      </c>
      <c r="F80" s="123">
        <v>0.71659300000000004</v>
      </c>
      <c r="G80" s="123">
        <v>0.73005799999999998</v>
      </c>
      <c r="H80" s="123">
        <v>0.484122</v>
      </c>
      <c r="I80" s="124">
        <v>0.75404099999999996</v>
      </c>
      <c r="J80" s="69">
        <v>0.52063000000000004</v>
      </c>
    </row>
    <row r="81" spans="1:10">
      <c r="A81" s="71"/>
      <c r="B81" s="78" t="s">
        <v>11</v>
      </c>
      <c r="C81" s="21" t="s">
        <v>10</v>
      </c>
      <c r="D81" s="15">
        <v>0.75960399999999995</v>
      </c>
      <c r="E81" s="15">
        <v>0.90287099999999998</v>
      </c>
      <c r="F81" s="15">
        <v>0.82263500000000001</v>
      </c>
      <c r="G81" s="15">
        <v>0.86088699999999996</v>
      </c>
      <c r="H81" s="15">
        <v>0.47145900000000002</v>
      </c>
      <c r="I81" s="125">
        <v>0.89276999999999995</v>
      </c>
      <c r="J81" s="52">
        <v>0.51874900000000002</v>
      </c>
    </row>
    <row r="82" spans="1:10" ht="14.5" thickBot="1">
      <c r="A82" s="71"/>
      <c r="B82" s="79" t="s">
        <v>11</v>
      </c>
      <c r="C82" s="34" t="s">
        <v>12</v>
      </c>
      <c r="D82" s="35">
        <v>0.41939399999999999</v>
      </c>
      <c r="E82" s="35">
        <v>0.41009699999999999</v>
      </c>
      <c r="F82" s="35">
        <v>0.89815699999999998</v>
      </c>
      <c r="G82" s="35">
        <v>0.56308899999999995</v>
      </c>
      <c r="H82" s="35">
        <v>0.45708799999999999</v>
      </c>
      <c r="I82" s="126">
        <v>0.38239400000000001</v>
      </c>
      <c r="J82" s="54">
        <v>0.52365499999999998</v>
      </c>
    </row>
    <row r="83" spans="1:10">
      <c r="A83" s="71"/>
      <c r="B83" s="76" t="s">
        <v>12</v>
      </c>
      <c r="C83" s="122" t="s">
        <v>9</v>
      </c>
      <c r="D83" s="123">
        <v>0.38122200000000001</v>
      </c>
      <c r="E83" s="123">
        <v>0.73339900000000002</v>
      </c>
      <c r="F83" s="123">
        <v>0.27488899999999999</v>
      </c>
      <c r="G83" s="123">
        <v>0.39989200000000003</v>
      </c>
      <c r="H83" s="123">
        <v>0.45180799999999999</v>
      </c>
      <c r="I83" s="124">
        <v>0.72934500000000002</v>
      </c>
      <c r="J83" s="69">
        <v>0.54192600000000002</v>
      </c>
    </row>
    <row r="84" spans="1:10">
      <c r="A84" s="71"/>
      <c r="B84" s="76" t="s">
        <v>12</v>
      </c>
      <c r="C84" s="21" t="s">
        <v>10</v>
      </c>
      <c r="D84" s="15">
        <v>0.233518</v>
      </c>
      <c r="E84" s="15">
        <v>0.94765500000000003</v>
      </c>
      <c r="F84" s="15">
        <v>0.16122400000000001</v>
      </c>
      <c r="G84" s="15">
        <v>0.27556700000000001</v>
      </c>
      <c r="H84" s="15">
        <v>0.63158000000000003</v>
      </c>
      <c r="I84" s="125">
        <v>0.93615400000000004</v>
      </c>
      <c r="J84" s="52">
        <v>0.40440999999999999</v>
      </c>
    </row>
    <row r="85" spans="1:10" ht="14.5" thickBot="1">
      <c r="A85" s="72"/>
      <c r="B85" s="77" t="s">
        <v>12</v>
      </c>
      <c r="C85" s="34" t="s">
        <v>11</v>
      </c>
      <c r="D85" s="35">
        <v>0.42266700000000001</v>
      </c>
      <c r="E85" s="35">
        <v>0.452459</v>
      </c>
      <c r="F85" s="35">
        <v>0.73599999999999999</v>
      </c>
      <c r="G85" s="35">
        <v>0.56040599999999996</v>
      </c>
      <c r="H85" s="35">
        <v>0.35537800000000003</v>
      </c>
      <c r="I85" s="126">
        <v>0.41544199999999998</v>
      </c>
      <c r="J85" s="53">
        <v>0.61366699999999996</v>
      </c>
    </row>
    <row r="86" spans="1:10">
      <c r="A86" s="143" t="s">
        <v>47</v>
      </c>
      <c r="B86" s="73" t="s">
        <v>9</v>
      </c>
      <c r="C86" s="122" t="s">
        <v>10</v>
      </c>
      <c r="D86" s="123">
        <v>0.538165</v>
      </c>
      <c r="E86" s="123">
        <v>0.94954000000000005</v>
      </c>
      <c r="F86" s="123">
        <v>0.51669799999999999</v>
      </c>
      <c r="G86" s="123">
        <v>0.66922999999999999</v>
      </c>
      <c r="H86" s="123">
        <v>0.68824799999999997</v>
      </c>
      <c r="I86" s="124">
        <v>0.94984400000000002</v>
      </c>
      <c r="J86" s="52">
        <v>0.36525299999999999</v>
      </c>
    </row>
    <row r="87" spans="1:10">
      <c r="A87" s="71"/>
      <c r="B87" s="74" t="s">
        <v>9</v>
      </c>
      <c r="C87" s="21" t="s">
        <v>11</v>
      </c>
      <c r="D87" s="15">
        <v>0.52533300000000005</v>
      </c>
      <c r="E87" s="15">
        <v>0.54896900000000004</v>
      </c>
      <c r="F87" s="15">
        <v>0.28399999999999997</v>
      </c>
      <c r="G87" s="15">
        <v>0.37434099999999998</v>
      </c>
      <c r="H87" s="15">
        <v>0.53066000000000002</v>
      </c>
      <c r="I87" s="125">
        <v>0.52677300000000005</v>
      </c>
      <c r="J87" s="53">
        <v>0.47699999999999998</v>
      </c>
    </row>
    <row r="88" spans="1:10" ht="14.5" thickBot="1">
      <c r="A88" s="71"/>
      <c r="B88" s="74" t="s">
        <v>9</v>
      </c>
      <c r="C88" s="34" t="s">
        <v>12</v>
      </c>
      <c r="D88" s="35">
        <v>0.56686899999999996</v>
      </c>
      <c r="E88" s="35">
        <v>0.47550799999999999</v>
      </c>
      <c r="F88" s="35">
        <v>0.38603300000000002</v>
      </c>
      <c r="G88" s="35">
        <v>0.426124</v>
      </c>
      <c r="H88" s="35">
        <v>0.55738699999999997</v>
      </c>
      <c r="I88" s="126">
        <v>0.47729700000000003</v>
      </c>
      <c r="J88" s="68">
        <v>0.452102</v>
      </c>
    </row>
    <row r="89" spans="1:10">
      <c r="A89" s="71"/>
      <c r="B89" s="75" t="s">
        <v>10</v>
      </c>
      <c r="C89" s="122" t="s">
        <v>9</v>
      </c>
      <c r="D89" s="123">
        <v>0.56272200000000006</v>
      </c>
      <c r="E89" s="123">
        <v>0.82384100000000005</v>
      </c>
      <c r="F89" s="123">
        <v>0.53037000000000001</v>
      </c>
      <c r="G89" s="123">
        <v>0.64530699999999996</v>
      </c>
      <c r="H89" s="123">
        <v>0.62361200000000006</v>
      </c>
      <c r="I89" s="124">
        <v>0.842692</v>
      </c>
      <c r="J89" s="51">
        <v>0.41218500000000002</v>
      </c>
    </row>
    <row r="90" spans="1:10">
      <c r="A90" s="71"/>
      <c r="B90" s="76" t="s">
        <v>10</v>
      </c>
      <c r="C90" s="21" t="s">
        <v>11</v>
      </c>
      <c r="D90" s="15">
        <v>0.48099999999999998</v>
      </c>
      <c r="E90" s="15">
        <v>0.48801</v>
      </c>
      <c r="F90" s="15">
        <v>0.77333300000000005</v>
      </c>
      <c r="G90" s="15">
        <v>0.59840099999999996</v>
      </c>
      <c r="H90" s="15">
        <v>0.459034</v>
      </c>
      <c r="I90" s="125">
        <v>0.47058100000000003</v>
      </c>
      <c r="J90" s="53">
        <v>0.52933300000000005</v>
      </c>
    </row>
    <row r="91" spans="1:10" ht="14.5" thickBot="1">
      <c r="A91" s="71"/>
      <c r="B91" s="77" t="s">
        <v>10</v>
      </c>
      <c r="C91" s="34" t="s">
        <v>12</v>
      </c>
      <c r="D91" s="35">
        <v>0.672323</v>
      </c>
      <c r="E91" s="35">
        <v>0.56953200000000004</v>
      </c>
      <c r="F91" s="35">
        <v>0.87390900000000005</v>
      </c>
      <c r="G91" s="35">
        <v>0.68962900000000005</v>
      </c>
      <c r="H91" s="35">
        <v>0.82668900000000001</v>
      </c>
      <c r="I91" s="126">
        <v>0.78572600000000004</v>
      </c>
      <c r="J91" s="54">
        <v>0.25448500000000002</v>
      </c>
    </row>
    <row r="92" spans="1:10">
      <c r="A92" s="71"/>
      <c r="B92" s="78" t="s">
        <v>11</v>
      </c>
      <c r="C92" s="122" t="s">
        <v>9</v>
      </c>
      <c r="D92" s="123">
        <v>0.73533300000000001</v>
      </c>
      <c r="E92" s="123">
        <v>0.76083800000000001</v>
      </c>
      <c r="F92" s="123">
        <v>0.94377800000000001</v>
      </c>
      <c r="G92" s="123">
        <v>0.84249200000000002</v>
      </c>
      <c r="H92" s="123">
        <v>0.61191799999999996</v>
      </c>
      <c r="I92" s="124">
        <v>0.81152800000000003</v>
      </c>
      <c r="J92" s="69">
        <v>0.41718499999999997</v>
      </c>
    </row>
    <row r="93" spans="1:10">
      <c r="A93" s="71"/>
      <c r="B93" s="78" t="s">
        <v>11</v>
      </c>
      <c r="C93" s="21" t="s">
        <v>10</v>
      </c>
      <c r="D93" s="15">
        <v>0.73695699999999997</v>
      </c>
      <c r="E93" s="15">
        <v>0.90130200000000005</v>
      </c>
      <c r="F93" s="15">
        <v>0.79628900000000002</v>
      </c>
      <c r="G93" s="15">
        <v>0.84554799999999997</v>
      </c>
      <c r="H93" s="15">
        <v>0.46743400000000002</v>
      </c>
      <c r="I93" s="125">
        <v>0.89363099999999995</v>
      </c>
      <c r="J93" s="52">
        <v>0.52008900000000002</v>
      </c>
    </row>
    <row r="94" spans="1:10" ht="14.5" thickBot="1">
      <c r="A94" s="71"/>
      <c r="B94" s="79" t="s">
        <v>11</v>
      </c>
      <c r="C94" s="34" t="s">
        <v>12</v>
      </c>
      <c r="D94" s="35">
        <v>0.460202</v>
      </c>
      <c r="E94" s="35">
        <v>0.42513499999999999</v>
      </c>
      <c r="F94" s="35">
        <v>0.83996099999999996</v>
      </c>
      <c r="G94" s="35">
        <v>0.56453699999999996</v>
      </c>
      <c r="H94" s="35">
        <v>0.49715199999999998</v>
      </c>
      <c r="I94" s="126">
        <v>0.409721</v>
      </c>
      <c r="J94" s="54">
        <v>0.50141999999999998</v>
      </c>
    </row>
    <row r="95" spans="1:10">
      <c r="A95" s="71"/>
      <c r="B95" s="76" t="s">
        <v>12</v>
      </c>
      <c r="C95" s="122" t="s">
        <v>9</v>
      </c>
      <c r="D95" s="123">
        <v>0.49411100000000002</v>
      </c>
      <c r="E95" s="123">
        <v>0.730487</v>
      </c>
      <c r="F95" s="123">
        <v>0.51577799999999996</v>
      </c>
      <c r="G95" s="123">
        <v>0.60463699999999998</v>
      </c>
      <c r="H95" s="123">
        <v>0.46240199999999998</v>
      </c>
      <c r="I95" s="124">
        <v>0.73008700000000004</v>
      </c>
      <c r="J95" s="69">
        <v>0.52200000000000002</v>
      </c>
    </row>
    <row r="96" spans="1:10">
      <c r="A96" s="71"/>
      <c r="B96" s="76" t="s">
        <v>12</v>
      </c>
      <c r="C96" s="21" t="s">
        <v>10</v>
      </c>
      <c r="D96" s="15">
        <v>0.39573900000000001</v>
      </c>
      <c r="E96" s="15">
        <v>0.97705399999999998</v>
      </c>
      <c r="F96" s="15">
        <v>0.33970299999999998</v>
      </c>
      <c r="G96" s="15">
        <v>0.50412999999999997</v>
      </c>
      <c r="H96" s="15">
        <v>0.71973699999999996</v>
      </c>
      <c r="I96" s="125">
        <v>0.95866300000000004</v>
      </c>
      <c r="J96" s="52">
        <v>0.33270100000000002</v>
      </c>
    </row>
    <row r="97" spans="1:10" ht="14.5" thickBot="1">
      <c r="A97" s="72"/>
      <c r="B97" s="77" t="s">
        <v>12</v>
      </c>
      <c r="C97" s="34" t="s">
        <v>11</v>
      </c>
      <c r="D97" s="35">
        <v>0.44633299999999998</v>
      </c>
      <c r="E97" s="35">
        <v>0.46731600000000001</v>
      </c>
      <c r="F97" s="35">
        <v>0.76733300000000004</v>
      </c>
      <c r="G97" s="35">
        <v>0.58087299999999997</v>
      </c>
      <c r="H97" s="35">
        <v>0.36751400000000001</v>
      </c>
      <c r="I97" s="126">
        <v>0.41173500000000002</v>
      </c>
      <c r="J97" s="53">
        <v>0.59166700000000005</v>
      </c>
    </row>
    <row r="98" spans="1:10">
      <c r="A98" s="143" t="s">
        <v>48</v>
      </c>
      <c r="B98" s="73" t="s">
        <v>9</v>
      </c>
      <c r="C98" s="122" t="s">
        <v>10</v>
      </c>
      <c r="D98" s="123">
        <v>0.774702</v>
      </c>
      <c r="E98" s="123">
        <v>0.93525499999999995</v>
      </c>
      <c r="F98" s="123">
        <v>0.80667900000000003</v>
      </c>
      <c r="G98" s="123">
        <v>0.86622200000000005</v>
      </c>
      <c r="H98" s="123">
        <v>0.72725200000000001</v>
      </c>
      <c r="I98" s="124">
        <v>0.95891099999999996</v>
      </c>
      <c r="J98" s="52">
        <v>0.33126899999999998</v>
      </c>
    </row>
    <row r="99" spans="1:10">
      <c r="A99" s="71"/>
      <c r="B99" s="74" t="s">
        <v>9</v>
      </c>
      <c r="C99" s="21" t="s">
        <v>11</v>
      </c>
      <c r="D99" s="15">
        <v>0.52633300000000005</v>
      </c>
      <c r="E99" s="15">
        <v>0.54545500000000002</v>
      </c>
      <c r="F99" s="15">
        <v>0.316</v>
      </c>
      <c r="G99" s="15">
        <v>0.400169</v>
      </c>
      <c r="H99" s="15">
        <v>0.53398500000000004</v>
      </c>
      <c r="I99" s="125">
        <v>0.52897099999999997</v>
      </c>
      <c r="J99" s="53">
        <v>0.48333300000000001</v>
      </c>
    </row>
    <row r="100" spans="1:10" ht="14.5" thickBot="1">
      <c r="A100" s="71"/>
      <c r="B100" s="74" t="s">
        <v>9</v>
      </c>
      <c r="C100" s="34" t="s">
        <v>12</v>
      </c>
      <c r="D100" s="35">
        <v>0.53010100000000004</v>
      </c>
      <c r="E100" s="35">
        <v>0.44923099999999999</v>
      </c>
      <c r="F100" s="35">
        <v>0.56644000000000005</v>
      </c>
      <c r="G100" s="35">
        <v>0.50107299999999999</v>
      </c>
      <c r="H100" s="35">
        <v>0.54225900000000005</v>
      </c>
      <c r="I100" s="126">
        <v>0.466339</v>
      </c>
      <c r="J100" s="54">
        <v>0.45861299999999999</v>
      </c>
    </row>
    <row r="101" spans="1:10">
      <c r="A101" s="71"/>
      <c r="B101" s="75" t="s">
        <v>10</v>
      </c>
      <c r="C101" s="122" t="s">
        <v>9</v>
      </c>
      <c r="D101" s="123">
        <v>0.54600000000000004</v>
      </c>
      <c r="E101" s="123">
        <v>0.79905700000000002</v>
      </c>
      <c r="F101" s="123">
        <v>0.52725900000000003</v>
      </c>
      <c r="G101" s="123">
        <v>0.63530900000000001</v>
      </c>
      <c r="H101" s="123">
        <v>0.58825099999999997</v>
      </c>
      <c r="I101" s="124">
        <v>0.81187200000000004</v>
      </c>
      <c r="J101" s="69">
        <v>0.43514799999999998</v>
      </c>
    </row>
    <row r="102" spans="1:10">
      <c r="A102" s="71"/>
      <c r="B102" s="76" t="s">
        <v>10</v>
      </c>
      <c r="C102" s="21" t="s">
        <v>11</v>
      </c>
      <c r="D102" s="15">
        <v>0.43266700000000002</v>
      </c>
      <c r="E102" s="15">
        <v>0.458368</v>
      </c>
      <c r="F102" s="15">
        <v>0.74133300000000002</v>
      </c>
      <c r="G102" s="15">
        <v>0.56647999999999998</v>
      </c>
      <c r="H102" s="15">
        <v>0.40952899999999998</v>
      </c>
      <c r="I102" s="125">
        <v>0.44866499999999998</v>
      </c>
      <c r="J102" s="53">
        <v>0.55700000000000005</v>
      </c>
    </row>
    <row r="103" spans="1:10" ht="14.5" thickBot="1">
      <c r="A103" s="71"/>
      <c r="B103" s="77" t="s">
        <v>10</v>
      </c>
      <c r="C103" s="34" t="s">
        <v>12</v>
      </c>
      <c r="D103" s="35">
        <v>0.61899000000000004</v>
      </c>
      <c r="E103" s="35">
        <v>0.52436300000000002</v>
      </c>
      <c r="F103" s="35">
        <v>0.91852599999999995</v>
      </c>
      <c r="G103" s="35">
        <v>0.66760699999999995</v>
      </c>
      <c r="H103" s="35">
        <v>0.84624500000000002</v>
      </c>
      <c r="I103" s="126">
        <v>0.82674599999999998</v>
      </c>
      <c r="J103" s="54">
        <v>0.221861</v>
      </c>
    </row>
    <row r="104" spans="1:10">
      <c r="A104" s="71"/>
      <c r="B104" s="78" t="s">
        <v>11</v>
      </c>
      <c r="C104" s="122" t="s">
        <v>9</v>
      </c>
      <c r="D104" s="123">
        <v>0.73416700000000001</v>
      </c>
      <c r="E104" s="123">
        <v>0.76649699999999998</v>
      </c>
      <c r="F104" s="123">
        <v>0.92837000000000003</v>
      </c>
      <c r="G104" s="123">
        <v>0.83970400000000001</v>
      </c>
      <c r="H104" s="123">
        <v>0.58846699999999996</v>
      </c>
      <c r="I104" s="124">
        <v>0.80067100000000002</v>
      </c>
      <c r="J104" s="69">
        <v>0.43740699999999999</v>
      </c>
    </row>
    <row r="105" spans="1:10">
      <c r="A105" s="71"/>
      <c r="B105" s="78" t="s">
        <v>11</v>
      </c>
      <c r="C105" s="21" t="s">
        <v>10</v>
      </c>
      <c r="D105" s="15">
        <v>0.84516000000000002</v>
      </c>
      <c r="E105" s="15">
        <v>0.90279500000000001</v>
      </c>
      <c r="F105" s="15">
        <v>0.92875700000000005</v>
      </c>
      <c r="G105" s="15">
        <v>0.91559199999999996</v>
      </c>
      <c r="H105" s="15">
        <v>0.52044000000000001</v>
      </c>
      <c r="I105" s="125">
        <v>0.91368000000000005</v>
      </c>
      <c r="J105" s="52">
        <v>0.47593400000000002</v>
      </c>
    </row>
    <row r="106" spans="1:10" ht="14.5" thickBot="1">
      <c r="A106" s="71"/>
      <c r="B106" s="79" t="s">
        <v>11</v>
      </c>
      <c r="C106" s="34" t="s">
        <v>12</v>
      </c>
      <c r="D106" s="35">
        <v>0.42787900000000001</v>
      </c>
      <c r="E106" s="35">
        <v>0.414406</v>
      </c>
      <c r="F106" s="35">
        <v>0.90397700000000003</v>
      </c>
      <c r="G106" s="35">
        <v>0.56829300000000005</v>
      </c>
      <c r="H106" s="35">
        <v>0.50566199999999994</v>
      </c>
      <c r="I106" s="126">
        <v>0.42486600000000002</v>
      </c>
      <c r="J106" s="54">
        <v>0.49608600000000003</v>
      </c>
    </row>
    <row r="107" spans="1:10">
      <c r="A107" s="71"/>
      <c r="B107" s="76" t="s">
        <v>12</v>
      </c>
      <c r="C107" s="122" t="s">
        <v>9</v>
      </c>
      <c r="D107" s="123">
        <v>0.34961100000000001</v>
      </c>
      <c r="E107" s="123">
        <v>0.73340300000000003</v>
      </c>
      <c r="F107" s="123">
        <v>0.20866699999999999</v>
      </c>
      <c r="G107" s="123">
        <v>0.32489499999999999</v>
      </c>
      <c r="H107" s="123">
        <v>0.50051999999999996</v>
      </c>
      <c r="I107" s="124">
        <v>0.74052499999999999</v>
      </c>
      <c r="J107" s="53">
        <v>0.50481500000000001</v>
      </c>
    </row>
    <row r="108" spans="1:10">
      <c r="A108" s="71"/>
      <c r="B108" s="76" t="s">
        <v>12</v>
      </c>
      <c r="C108" s="21" t="s">
        <v>10</v>
      </c>
      <c r="D108" s="15">
        <v>0.450428</v>
      </c>
      <c r="E108" s="15">
        <v>0.99485000000000001</v>
      </c>
      <c r="F108" s="15">
        <v>0.39424900000000002</v>
      </c>
      <c r="G108" s="15">
        <v>0.56470900000000002</v>
      </c>
      <c r="H108" s="15">
        <v>0.79970300000000005</v>
      </c>
      <c r="I108" s="125">
        <v>0.97465999999999997</v>
      </c>
      <c r="J108" s="52">
        <v>0.28919600000000001</v>
      </c>
    </row>
    <row r="109" spans="1:10" ht="14.5" thickBot="1">
      <c r="A109" s="72"/>
      <c r="B109" s="77" t="s">
        <v>12</v>
      </c>
      <c r="C109" s="34" t="s">
        <v>11</v>
      </c>
      <c r="D109" s="35">
        <v>0.43966699999999997</v>
      </c>
      <c r="E109" s="35">
        <v>0.41720000000000002</v>
      </c>
      <c r="F109" s="35">
        <v>0.30399999999999999</v>
      </c>
      <c r="G109" s="35">
        <v>0.35171599999999997</v>
      </c>
      <c r="H109" s="35">
        <v>0.404358</v>
      </c>
      <c r="I109" s="126">
        <v>0.42799599999999999</v>
      </c>
      <c r="J109" s="53">
        <v>0.57199999999999995</v>
      </c>
    </row>
    <row r="110" spans="1:10">
      <c r="A110" s="143" t="s">
        <v>49</v>
      </c>
      <c r="B110" s="73" t="s">
        <v>9</v>
      </c>
      <c r="C110" s="122" t="s">
        <v>10</v>
      </c>
      <c r="D110" s="123">
        <v>0.73779600000000001</v>
      </c>
      <c r="E110" s="123">
        <v>0.94324799999999998</v>
      </c>
      <c r="F110" s="123">
        <v>0.75547299999999995</v>
      </c>
      <c r="G110" s="123">
        <v>0.83898200000000001</v>
      </c>
      <c r="H110" s="123">
        <v>0.74254799999999999</v>
      </c>
      <c r="I110" s="124">
        <v>0.96281700000000003</v>
      </c>
      <c r="J110" s="52">
        <v>0.33251599999999998</v>
      </c>
    </row>
    <row r="111" spans="1:10">
      <c r="A111" s="71"/>
      <c r="B111" s="74" t="s">
        <v>9</v>
      </c>
      <c r="C111" s="21" t="s">
        <v>11</v>
      </c>
      <c r="D111" s="15">
        <v>0.44533299999999998</v>
      </c>
      <c r="E111" s="15">
        <v>0.41067500000000001</v>
      </c>
      <c r="F111" s="15">
        <v>0.25133299999999997</v>
      </c>
      <c r="G111" s="15">
        <v>0.31182799999999999</v>
      </c>
      <c r="H111" s="15">
        <v>0.41528500000000002</v>
      </c>
      <c r="I111" s="125">
        <v>0.44330799999999998</v>
      </c>
      <c r="J111" s="53">
        <v>0.56466700000000003</v>
      </c>
    </row>
    <row r="112" spans="1:10" ht="14.5" thickBot="1">
      <c r="A112" s="71"/>
      <c r="B112" s="74" t="s">
        <v>9</v>
      </c>
      <c r="C112" s="34" t="s">
        <v>12</v>
      </c>
      <c r="D112" s="35">
        <v>0.53292899999999999</v>
      </c>
      <c r="E112" s="35">
        <v>0.45686700000000002</v>
      </c>
      <c r="F112" s="35">
        <v>0.64209499999999997</v>
      </c>
      <c r="G112" s="35">
        <v>0.53387099999999998</v>
      </c>
      <c r="H112" s="35">
        <v>0.57136900000000002</v>
      </c>
      <c r="I112" s="126">
        <v>0.49745099999999998</v>
      </c>
      <c r="J112" s="54">
        <v>0.44607599999999997</v>
      </c>
    </row>
    <row r="113" spans="1:10">
      <c r="A113" s="71"/>
      <c r="B113" s="75" t="s">
        <v>10</v>
      </c>
      <c r="C113" s="122" t="s">
        <v>9</v>
      </c>
      <c r="D113" s="123">
        <v>0.340333</v>
      </c>
      <c r="E113" s="123">
        <v>0.87465400000000004</v>
      </c>
      <c r="F113" s="123">
        <v>0.140593</v>
      </c>
      <c r="G113" s="123">
        <v>0.24224599999999999</v>
      </c>
      <c r="H113" s="123">
        <v>0.55895700000000004</v>
      </c>
      <c r="I113" s="124">
        <v>0.80427199999999999</v>
      </c>
      <c r="J113" s="69">
        <v>0.45288899999999999</v>
      </c>
    </row>
    <row r="114" spans="1:10">
      <c r="A114" s="71"/>
      <c r="B114" s="76" t="s">
        <v>10</v>
      </c>
      <c r="C114" s="21" t="s">
        <v>11</v>
      </c>
      <c r="D114" s="15">
        <v>0.44366699999999998</v>
      </c>
      <c r="E114" s="15">
        <v>0.44648500000000002</v>
      </c>
      <c r="F114" s="15">
        <v>0.47</v>
      </c>
      <c r="G114" s="15">
        <v>0.45794099999999999</v>
      </c>
      <c r="H114" s="15">
        <v>0.41063300000000003</v>
      </c>
      <c r="I114" s="125">
        <v>0.44173099999999998</v>
      </c>
      <c r="J114" s="53">
        <v>0.56366700000000003</v>
      </c>
    </row>
    <row r="115" spans="1:10" ht="14.5" thickBot="1">
      <c r="A115" s="71"/>
      <c r="B115" s="77" t="s">
        <v>10</v>
      </c>
      <c r="C115" s="34" t="s">
        <v>12</v>
      </c>
      <c r="D115" s="35">
        <v>0.80686899999999995</v>
      </c>
      <c r="E115" s="35">
        <v>0.72316400000000003</v>
      </c>
      <c r="F115" s="35">
        <v>0.86905900000000003</v>
      </c>
      <c r="G115" s="35">
        <v>0.78942699999999999</v>
      </c>
      <c r="H115" s="35">
        <v>0.92097300000000004</v>
      </c>
      <c r="I115" s="126">
        <v>0.91278599999999999</v>
      </c>
      <c r="J115" s="54">
        <v>0.16367699999999999</v>
      </c>
    </row>
    <row r="116" spans="1:10">
      <c r="A116" s="71"/>
      <c r="B116" s="78" t="s">
        <v>11</v>
      </c>
      <c r="C116" s="122" t="s">
        <v>9</v>
      </c>
      <c r="D116" s="123">
        <v>0.74688900000000003</v>
      </c>
      <c r="E116" s="123">
        <v>0.75211399999999995</v>
      </c>
      <c r="F116" s="123">
        <v>0.98822200000000004</v>
      </c>
      <c r="G116" s="123">
        <v>0.85415200000000002</v>
      </c>
      <c r="H116" s="123">
        <v>0.60511700000000002</v>
      </c>
      <c r="I116" s="124">
        <v>0.80852599999999997</v>
      </c>
      <c r="J116" s="53">
        <v>0.41540700000000003</v>
      </c>
    </row>
    <row r="117" spans="1:10">
      <c r="A117" s="71"/>
      <c r="B117" s="78" t="s">
        <v>11</v>
      </c>
      <c r="C117" s="21" t="s">
        <v>10</v>
      </c>
      <c r="D117" s="15">
        <v>0.89397800000000005</v>
      </c>
      <c r="E117" s="15">
        <v>0.90486699999999998</v>
      </c>
      <c r="F117" s="15">
        <v>0.986456</v>
      </c>
      <c r="G117" s="15">
        <v>0.94390200000000002</v>
      </c>
      <c r="H117" s="15">
        <v>0.51718900000000001</v>
      </c>
      <c r="I117" s="125">
        <v>0.90799200000000002</v>
      </c>
      <c r="J117" s="52">
        <v>0.483518</v>
      </c>
    </row>
    <row r="118" spans="1:10" ht="14.5" thickBot="1">
      <c r="A118" s="71"/>
      <c r="B118" s="79" t="s">
        <v>11</v>
      </c>
      <c r="C118" s="34" t="s">
        <v>12</v>
      </c>
      <c r="D118" s="35">
        <v>0.446465</v>
      </c>
      <c r="E118" s="35">
        <v>0.42549500000000001</v>
      </c>
      <c r="F118" s="35">
        <v>0.93889400000000001</v>
      </c>
      <c r="G118" s="35">
        <v>0.58560199999999996</v>
      </c>
      <c r="H118" s="35">
        <v>0.54918999999999996</v>
      </c>
      <c r="I118" s="126">
        <v>0.45262200000000002</v>
      </c>
      <c r="J118" s="54">
        <v>0.46027600000000002</v>
      </c>
    </row>
    <row r="119" spans="1:10">
      <c r="A119" s="71"/>
      <c r="B119" s="76" t="s">
        <v>12</v>
      </c>
      <c r="C119" s="122" t="s">
        <v>9</v>
      </c>
      <c r="D119" s="123">
        <v>0.35299999999999998</v>
      </c>
      <c r="E119" s="123">
        <v>0.78435600000000005</v>
      </c>
      <c r="F119" s="123">
        <v>0.18940699999999999</v>
      </c>
      <c r="G119" s="123">
        <v>0.30513099999999999</v>
      </c>
      <c r="H119" s="123">
        <v>0.48855500000000002</v>
      </c>
      <c r="I119" s="124">
        <v>0.76018699999999995</v>
      </c>
      <c r="J119" s="53">
        <v>0.51674100000000001</v>
      </c>
    </row>
    <row r="120" spans="1:10">
      <c r="A120" s="71"/>
      <c r="B120" s="76" t="s">
        <v>12</v>
      </c>
      <c r="C120" s="21" t="s">
        <v>10</v>
      </c>
      <c r="D120" s="15">
        <v>0.199463</v>
      </c>
      <c r="E120" s="15">
        <v>1</v>
      </c>
      <c r="F120" s="15">
        <v>0.114657</v>
      </c>
      <c r="G120" s="15">
        <v>0.20572599999999999</v>
      </c>
      <c r="H120" s="15">
        <v>0.76735900000000001</v>
      </c>
      <c r="I120" s="125">
        <v>0.97146200000000005</v>
      </c>
      <c r="J120" s="52">
        <v>0.27796399999999999</v>
      </c>
    </row>
    <row r="121" spans="1:10" ht="14.5" thickBot="1">
      <c r="A121" s="72"/>
      <c r="B121" s="77" t="s">
        <v>12</v>
      </c>
      <c r="C121" s="34" t="s">
        <v>11</v>
      </c>
      <c r="D121" s="35">
        <v>0.42633300000000002</v>
      </c>
      <c r="E121" s="35">
        <v>0.39565600000000001</v>
      </c>
      <c r="F121" s="35">
        <v>0.279333</v>
      </c>
      <c r="G121" s="35">
        <v>0.32747199999999999</v>
      </c>
      <c r="H121" s="35">
        <v>0.39394200000000001</v>
      </c>
      <c r="I121" s="126">
        <v>0.43255399999999999</v>
      </c>
      <c r="J121" s="53">
        <v>0.57399999999999995</v>
      </c>
    </row>
    <row r="122" spans="1:10">
      <c r="A122" s="143" t="s">
        <v>50</v>
      </c>
      <c r="B122" s="73" t="s">
        <v>9</v>
      </c>
      <c r="C122" s="122" t="s">
        <v>10</v>
      </c>
      <c r="D122" s="123">
        <v>0.89817100000000005</v>
      </c>
      <c r="E122" s="123">
        <v>0.90390099999999995</v>
      </c>
      <c r="F122" s="123">
        <v>0.99295</v>
      </c>
      <c r="G122" s="123">
        <v>0.94633500000000004</v>
      </c>
      <c r="H122" s="123">
        <v>0.52122299999999999</v>
      </c>
      <c r="I122" s="124">
        <v>0.913995</v>
      </c>
      <c r="J122" s="52">
        <v>0.49692399999999998</v>
      </c>
    </row>
    <row r="123" spans="1:10">
      <c r="A123" s="71"/>
      <c r="B123" s="74" t="s">
        <v>9</v>
      </c>
      <c r="C123" s="21" t="s">
        <v>11</v>
      </c>
      <c r="D123" s="15">
        <v>0.5</v>
      </c>
      <c r="E123" s="15">
        <v>0.5</v>
      </c>
      <c r="F123" s="15">
        <v>0.99933300000000003</v>
      </c>
      <c r="G123" s="15">
        <v>0.66651800000000005</v>
      </c>
      <c r="H123" s="15">
        <v>0.55693300000000001</v>
      </c>
      <c r="I123" s="125">
        <v>0.53608199999999995</v>
      </c>
      <c r="J123" s="53">
        <v>0.45966699999999999</v>
      </c>
    </row>
    <row r="124" spans="1:10" ht="14.5" thickBot="1">
      <c r="A124" s="71"/>
      <c r="B124" s="74" t="s">
        <v>9</v>
      </c>
      <c r="C124" s="34" t="s">
        <v>12</v>
      </c>
      <c r="D124" s="35">
        <v>0.41494900000000001</v>
      </c>
      <c r="E124" s="35">
        <v>0.41472399999999998</v>
      </c>
      <c r="F124" s="35">
        <v>0.98351100000000002</v>
      </c>
      <c r="G124" s="35">
        <v>0.58342899999999998</v>
      </c>
      <c r="H124" s="35">
        <v>0.50525299999999995</v>
      </c>
      <c r="I124" s="126">
        <v>0.42836200000000002</v>
      </c>
      <c r="J124" s="54">
        <v>0.495394</v>
      </c>
    </row>
    <row r="125" spans="1:10">
      <c r="A125" s="71"/>
      <c r="B125" s="75" t="s">
        <v>10</v>
      </c>
      <c r="C125" s="122" t="s">
        <v>9</v>
      </c>
      <c r="D125" s="123">
        <v>0.75</v>
      </c>
      <c r="E125" s="123">
        <v>0.75</v>
      </c>
      <c r="F125" s="123">
        <v>1</v>
      </c>
      <c r="G125" s="123">
        <v>0.85714299999999999</v>
      </c>
      <c r="H125" s="123">
        <v>0.50625200000000004</v>
      </c>
      <c r="I125" s="124">
        <v>0.77789200000000003</v>
      </c>
      <c r="J125" s="69">
        <v>0.471889</v>
      </c>
    </row>
    <row r="126" spans="1:10">
      <c r="A126" s="71"/>
      <c r="B126" s="76" t="s">
        <v>10</v>
      </c>
      <c r="C126" s="21" t="s">
        <v>11</v>
      </c>
      <c r="D126" s="15">
        <v>0.5</v>
      </c>
      <c r="E126" s="15">
        <v>0.5</v>
      </c>
      <c r="F126" s="15">
        <v>1</v>
      </c>
      <c r="G126" s="15">
        <v>0.66666700000000001</v>
      </c>
      <c r="H126" s="15">
        <v>0.40297500000000003</v>
      </c>
      <c r="I126" s="125">
        <v>0.43448399999999998</v>
      </c>
      <c r="J126" s="53">
        <v>0.57233299999999998</v>
      </c>
    </row>
    <row r="127" spans="1:10" ht="14.5" thickBot="1">
      <c r="A127" s="71"/>
      <c r="B127" s="77" t="s">
        <v>10</v>
      </c>
      <c r="C127" s="34" t="s">
        <v>12</v>
      </c>
      <c r="D127" s="35">
        <v>0.41656599999999999</v>
      </c>
      <c r="E127" s="35">
        <v>0.41656599999999999</v>
      </c>
      <c r="F127" s="35">
        <v>1</v>
      </c>
      <c r="G127" s="35">
        <v>0.58813499999999996</v>
      </c>
      <c r="H127" s="35">
        <v>0.58780600000000005</v>
      </c>
      <c r="I127" s="126">
        <v>0.48086000000000001</v>
      </c>
      <c r="J127" s="54">
        <v>0.43436999999999998</v>
      </c>
    </row>
    <row r="128" spans="1:10">
      <c r="A128" s="71"/>
      <c r="B128" s="78" t="s">
        <v>11</v>
      </c>
      <c r="C128" s="122" t="s">
        <v>9</v>
      </c>
      <c r="D128" s="123">
        <v>0.64072200000000001</v>
      </c>
      <c r="E128" s="123">
        <v>0.76011499999999999</v>
      </c>
      <c r="F128" s="123">
        <v>0.761185</v>
      </c>
      <c r="G128" s="123">
        <v>0.76065000000000005</v>
      </c>
      <c r="H128" s="123">
        <v>0.55246499999999998</v>
      </c>
      <c r="I128" s="124">
        <v>0.78380300000000003</v>
      </c>
      <c r="J128" s="53">
        <v>0.46844400000000003</v>
      </c>
    </row>
    <row r="129" spans="1:10">
      <c r="A129" s="71"/>
      <c r="B129" s="78" t="s">
        <v>11</v>
      </c>
      <c r="C129" s="21" t="s">
        <v>10</v>
      </c>
      <c r="D129" s="15">
        <v>0.69518500000000005</v>
      </c>
      <c r="E129" s="15">
        <v>0.90834300000000001</v>
      </c>
      <c r="F129" s="15">
        <v>0.73729100000000003</v>
      </c>
      <c r="G129" s="15">
        <v>0.81392699999999996</v>
      </c>
      <c r="H129" s="15">
        <v>0.49672100000000002</v>
      </c>
      <c r="I129" s="125">
        <v>0.89702400000000004</v>
      </c>
      <c r="J129" s="52">
        <v>0.50224100000000005</v>
      </c>
    </row>
    <row r="130" spans="1:10" ht="14.5" thickBot="1">
      <c r="A130" s="71"/>
      <c r="B130" s="79" t="s">
        <v>11</v>
      </c>
      <c r="C130" s="34" t="s">
        <v>12</v>
      </c>
      <c r="D130" s="35">
        <v>0.41292899999999999</v>
      </c>
      <c r="E130" s="35">
        <v>0.39575100000000002</v>
      </c>
      <c r="F130" s="35">
        <v>0.77691600000000005</v>
      </c>
      <c r="G130" s="35">
        <v>0.52438600000000002</v>
      </c>
      <c r="H130" s="35">
        <v>0.39988400000000002</v>
      </c>
      <c r="I130" s="126">
        <v>0.34798400000000002</v>
      </c>
      <c r="J130" s="54">
        <v>0.58017600000000003</v>
      </c>
    </row>
    <row r="131" spans="1:10">
      <c r="A131" s="71"/>
      <c r="B131" s="76" t="s">
        <v>12</v>
      </c>
      <c r="C131" s="122" t="s">
        <v>9</v>
      </c>
      <c r="D131" s="123">
        <v>0.58616699999999999</v>
      </c>
      <c r="E131" s="123">
        <v>0.72225099999999998</v>
      </c>
      <c r="F131" s="123">
        <v>0.72829600000000005</v>
      </c>
      <c r="G131" s="123">
        <v>0.72526100000000004</v>
      </c>
      <c r="H131" s="123">
        <v>0.395235</v>
      </c>
      <c r="I131" s="124">
        <v>0.68063300000000004</v>
      </c>
      <c r="J131" s="53">
        <v>0.56437000000000004</v>
      </c>
    </row>
    <row r="132" spans="1:10">
      <c r="A132" s="71"/>
      <c r="B132" s="76" t="s">
        <v>12</v>
      </c>
      <c r="C132" s="21" t="s">
        <v>10</v>
      </c>
      <c r="D132" s="15">
        <v>0.82435800000000004</v>
      </c>
      <c r="E132" s="15">
        <v>0.90886800000000001</v>
      </c>
      <c r="F132" s="15">
        <v>0.89554699999999998</v>
      </c>
      <c r="G132" s="15">
        <v>0.90215900000000004</v>
      </c>
      <c r="H132" s="15">
        <v>0.51822500000000005</v>
      </c>
      <c r="I132" s="125">
        <v>0.90143399999999996</v>
      </c>
      <c r="J132" s="52">
        <v>0.48855700000000002</v>
      </c>
    </row>
    <row r="133" spans="1:10" ht="14.5" thickBot="1">
      <c r="A133" s="72"/>
      <c r="B133" s="77" t="s">
        <v>12</v>
      </c>
      <c r="C133" s="34" t="s">
        <v>11</v>
      </c>
      <c r="D133" s="35">
        <v>0.527667</v>
      </c>
      <c r="E133" s="35">
        <v>0.51833799999999997</v>
      </c>
      <c r="F133" s="35">
        <v>0.78200000000000003</v>
      </c>
      <c r="G133" s="35">
        <v>0.62343899999999997</v>
      </c>
      <c r="H133" s="35">
        <v>0.52105299999999999</v>
      </c>
      <c r="I133" s="126">
        <v>0.49755100000000002</v>
      </c>
      <c r="J133" s="53">
        <v>0.47599999999999998</v>
      </c>
    </row>
  </sheetData>
  <mergeCells count="51">
    <mergeCell ref="A122:A133"/>
    <mergeCell ref="B122:B124"/>
    <mergeCell ref="B125:B127"/>
    <mergeCell ref="B128:B130"/>
    <mergeCell ref="B131:B133"/>
    <mergeCell ref="A98:A109"/>
    <mergeCell ref="B98:B100"/>
    <mergeCell ref="B101:B103"/>
    <mergeCell ref="B104:B106"/>
    <mergeCell ref="B107:B109"/>
    <mergeCell ref="A110:A121"/>
    <mergeCell ref="B110:B112"/>
    <mergeCell ref="B113:B115"/>
    <mergeCell ref="B116:B118"/>
    <mergeCell ref="B119:B121"/>
    <mergeCell ref="A74:A85"/>
    <mergeCell ref="B74:B76"/>
    <mergeCell ref="B77:B79"/>
    <mergeCell ref="B80:B82"/>
    <mergeCell ref="B83:B85"/>
    <mergeCell ref="A86:A97"/>
    <mergeCell ref="B86:B88"/>
    <mergeCell ref="B89:B91"/>
    <mergeCell ref="B92:B94"/>
    <mergeCell ref="B95:B97"/>
    <mergeCell ref="A50:A61"/>
    <mergeCell ref="B50:B52"/>
    <mergeCell ref="B53:B55"/>
    <mergeCell ref="B56:B58"/>
    <mergeCell ref="B59:B61"/>
    <mergeCell ref="A62:A73"/>
    <mergeCell ref="B62:B64"/>
    <mergeCell ref="B65:B67"/>
    <mergeCell ref="B68:B70"/>
    <mergeCell ref="B71:B73"/>
    <mergeCell ref="A26:A37"/>
    <mergeCell ref="B26:B28"/>
    <mergeCell ref="B29:B31"/>
    <mergeCell ref="B32:B34"/>
    <mergeCell ref="B35:B37"/>
    <mergeCell ref="A38:A49"/>
    <mergeCell ref="B38:B40"/>
    <mergeCell ref="B41:B43"/>
    <mergeCell ref="B44:B46"/>
    <mergeCell ref="B47:B49"/>
    <mergeCell ref="A2:A13"/>
    <mergeCell ref="A14:A25"/>
    <mergeCell ref="B14:B16"/>
    <mergeCell ref="B17:B19"/>
    <mergeCell ref="B20:B22"/>
    <mergeCell ref="B23:B25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E3D8-A306-435B-83FB-7107F460D85E}">
  <dimension ref="A1:J45"/>
  <sheetViews>
    <sheetView topLeftCell="D1" workbookViewId="0">
      <selection activeCell="M30" sqref="M30"/>
    </sheetView>
  </sheetViews>
  <sheetFormatPr defaultRowHeight="14"/>
  <cols>
    <col min="2" max="3" width="18" customWidth="1"/>
    <col min="4" max="10" width="12" customWidth="1"/>
  </cols>
  <sheetData>
    <row r="1" spans="1:10" ht="21.4" customHeight="1" thickBot="1">
      <c r="A1" s="105" t="s">
        <v>13</v>
      </c>
      <c r="B1" s="58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9" t="s">
        <v>8</v>
      </c>
    </row>
    <row r="2" spans="1:10">
      <c r="A2" s="85" t="s">
        <v>14</v>
      </c>
      <c r="B2" s="106" t="s">
        <v>9</v>
      </c>
      <c r="C2" s="106" t="s">
        <v>9</v>
      </c>
      <c r="D2" s="107">
        <v>0.749556</v>
      </c>
      <c r="E2" s="107">
        <v>0.750278</v>
      </c>
      <c r="F2" s="107">
        <v>0.99836999999999998</v>
      </c>
      <c r="G2" s="107">
        <v>0.85672499999999996</v>
      </c>
      <c r="H2" s="107">
        <v>0.62529800000000002</v>
      </c>
      <c r="I2" s="107">
        <v>0.80780099999999999</v>
      </c>
      <c r="J2" s="108">
        <v>0.40540700000000002</v>
      </c>
    </row>
    <row r="3" spans="1:10">
      <c r="A3" s="86"/>
      <c r="B3" s="101" t="s">
        <v>57</v>
      </c>
      <c r="C3" s="101" t="s">
        <v>57</v>
      </c>
      <c r="D3" s="102">
        <v>0.89783599999999997</v>
      </c>
      <c r="E3" s="102">
        <v>0.92123299999999997</v>
      </c>
      <c r="F3" s="102">
        <v>0.96994400000000003</v>
      </c>
      <c r="G3" s="102">
        <v>0.94496199999999997</v>
      </c>
      <c r="H3" s="102">
        <v>0.79237299999999999</v>
      </c>
      <c r="I3" s="102">
        <v>0.96617399999999998</v>
      </c>
      <c r="J3" s="109">
        <v>0.26839099999999999</v>
      </c>
    </row>
    <row r="4" spans="1:10">
      <c r="A4" s="86"/>
      <c r="B4" s="103" t="s">
        <v>11</v>
      </c>
      <c r="C4" s="104" t="s">
        <v>11</v>
      </c>
      <c r="D4" s="104">
        <v>0.72866699999999995</v>
      </c>
      <c r="E4" s="104">
        <v>0.656335</v>
      </c>
      <c r="F4" s="104">
        <v>0.96</v>
      </c>
      <c r="G4" s="104">
        <v>0.77964299999999997</v>
      </c>
      <c r="H4" s="104">
        <v>0.897204</v>
      </c>
      <c r="I4" s="104">
        <v>0.89534999999999998</v>
      </c>
      <c r="J4" s="110">
        <v>0.182</v>
      </c>
    </row>
    <row r="5" spans="1:10" ht="14.5" thickBot="1">
      <c r="A5" s="87"/>
      <c r="B5" s="111" t="s">
        <v>12</v>
      </c>
      <c r="C5" s="111" t="s">
        <v>12</v>
      </c>
      <c r="D5" s="112">
        <v>0.77359999999999995</v>
      </c>
      <c r="E5" s="112">
        <v>0.75819999999999999</v>
      </c>
      <c r="F5" s="112">
        <v>0.77359999999999995</v>
      </c>
      <c r="G5" s="112">
        <v>0.75960000000000005</v>
      </c>
      <c r="H5" s="112">
        <v>0.78420000000000001</v>
      </c>
      <c r="I5" s="112">
        <v>0.75819999999999999</v>
      </c>
      <c r="J5" s="113">
        <v>0.21579999999999999</v>
      </c>
    </row>
    <row r="6" spans="1:10">
      <c r="A6" s="85" t="s">
        <v>28</v>
      </c>
      <c r="B6" s="106" t="s">
        <v>9</v>
      </c>
      <c r="C6" s="106" t="s">
        <v>9</v>
      </c>
      <c r="D6" s="107">
        <v>0.79233299999999995</v>
      </c>
      <c r="E6" s="107">
        <v>0.918682</v>
      </c>
      <c r="F6" s="107">
        <v>0.79333299999999995</v>
      </c>
      <c r="G6" s="107">
        <v>0.85141900000000004</v>
      </c>
      <c r="H6" s="107">
        <v>0.86363400000000001</v>
      </c>
      <c r="I6" s="107">
        <v>0.95111900000000005</v>
      </c>
      <c r="J6" s="108">
        <v>0.20855599999999999</v>
      </c>
    </row>
    <row r="7" spans="1:10">
      <c r="A7" s="86"/>
      <c r="B7" s="101" t="s">
        <v>57</v>
      </c>
      <c r="C7" s="101" t="s">
        <v>57</v>
      </c>
      <c r="D7" s="102">
        <v>0.93457500000000004</v>
      </c>
      <c r="E7" s="102">
        <v>0.94883300000000004</v>
      </c>
      <c r="F7" s="102">
        <v>0.98051900000000003</v>
      </c>
      <c r="G7" s="102">
        <v>0.96441600000000005</v>
      </c>
      <c r="H7" s="102">
        <v>0.90346599999999999</v>
      </c>
      <c r="I7" s="102">
        <v>0.98589199999999999</v>
      </c>
      <c r="J7" s="109">
        <v>0.17388899999999999</v>
      </c>
    </row>
    <row r="8" spans="1:10">
      <c r="A8" s="86"/>
      <c r="B8" s="103" t="s">
        <v>11</v>
      </c>
      <c r="C8" s="104" t="s">
        <v>11</v>
      </c>
      <c r="D8" s="104">
        <v>0.97199999999999998</v>
      </c>
      <c r="E8" s="104">
        <v>0.96701800000000004</v>
      </c>
      <c r="F8" s="104">
        <v>0.97733300000000001</v>
      </c>
      <c r="G8" s="104">
        <v>0.97214900000000004</v>
      </c>
      <c r="H8" s="104">
        <v>0.99509499999999995</v>
      </c>
      <c r="I8" s="104">
        <v>0.99571200000000004</v>
      </c>
      <c r="J8" s="110">
        <v>2.8333000000000001E-2</v>
      </c>
    </row>
    <row r="9" spans="1:10" ht="14.5" thickBot="1">
      <c r="A9" s="87"/>
      <c r="B9" s="111" t="s">
        <v>12</v>
      </c>
      <c r="C9" s="111" t="s">
        <v>12</v>
      </c>
      <c r="D9" s="112">
        <v>0.87151500000000004</v>
      </c>
      <c r="E9" s="112">
        <v>0.77571500000000004</v>
      </c>
      <c r="F9" s="112">
        <v>0.97284199999999998</v>
      </c>
      <c r="G9" s="112">
        <v>0.86316700000000002</v>
      </c>
      <c r="H9" s="112">
        <v>0.97822100000000001</v>
      </c>
      <c r="I9" s="112">
        <v>0.97280599999999995</v>
      </c>
      <c r="J9" s="113">
        <v>8.1250000000000003E-2</v>
      </c>
    </row>
    <row r="10" spans="1:10">
      <c r="A10" s="80" t="s">
        <v>42</v>
      </c>
      <c r="B10" s="106" t="s">
        <v>9</v>
      </c>
      <c r="C10" s="106" t="s">
        <v>9</v>
      </c>
      <c r="D10" s="107">
        <v>0.75945399999999996</v>
      </c>
      <c r="E10" s="107">
        <v>0.83981899999999998</v>
      </c>
      <c r="F10" s="107">
        <v>0.83977800000000002</v>
      </c>
      <c r="G10" s="107">
        <v>0.83973699999999996</v>
      </c>
      <c r="H10" s="107">
        <v>0.67952699999999999</v>
      </c>
      <c r="I10" s="107">
        <v>0.83987500000000004</v>
      </c>
      <c r="J10" s="108">
        <v>0.32056299999999999</v>
      </c>
    </row>
    <row r="11" spans="1:10">
      <c r="A11" s="81"/>
      <c r="B11" s="101" t="s">
        <v>57</v>
      </c>
      <c r="C11" s="101" t="s">
        <v>57</v>
      </c>
      <c r="D11" s="102">
        <v>0.94631799999999999</v>
      </c>
      <c r="E11" s="102">
        <v>0.96107699999999996</v>
      </c>
      <c r="F11" s="102">
        <v>0.98033400000000004</v>
      </c>
      <c r="G11" s="102">
        <v>0.97060999999999997</v>
      </c>
      <c r="H11" s="102">
        <v>0.94839700000000005</v>
      </c>
      <c r="I11" s="102">
        <v>0.99368100000000004</v>
      </c>
      <c r="J11" s="109">
        <v>0.129084</v>
      </c>
    </row>
    <row r="12" spans="1:10">
      <c r="A12" s="81"/>
      <c r="B12" s="103" t="s">
        <v>11</v>
      </c>
      <c r="C12" s="104" t="s">
        <v>11</v>
      </c>
      <c r="D12" s="104">
        <v>0.93899999999999995</v>
      </c>
      <c r="E12" s="104">
        <v>0.90176900000000004</v>
      </c>
      <c r="F12" s="104">
        <v>0.98533300000000001</v>
      </c>
      <c r="G12" s="104">
        <v>0.94170100000000001</v>
      </c>
      <c r="H12" s="104">
        <v>0.99270400000000003</v>
      </c>
      <c r="I12" s="104">
        <v>0.99310399999999999</v>
      </c>
      <c r="J12" s="110">
        <v>4.2000000000000003E-2</v>
      </c>
    </row>
    <row r="13" spans="1:10" ht="14.5" thickBot="1">
      <c r="A13" s="82"/>
      <c r="B13" s="111" t="s">
        <v>12</v>
      </c>
      <c r="C13" s="111" t="s">
        <v>12</v>
      </c>
      <c r="D13" s="112">
        <v>0.78585899999999997</v>
      </c>
      <c r="E13" s="112">
        <v>0.76507899999999995</v>
      </c>
      <c r="F13" s="112">
        <v>0.70126100000000002</v>
      </c>
      <c r="G13" s="112">
        <v>0.73178100000000001</v>
      </c>
      <c r="H13" s="112">
        <v>0.87367600000000001</v>
      </c>
      <c r="I13" s="112">
        <v>0.80688199999999999</v>
      </c>
      <c r="J13" s="113">
        <v>0.20980799999999999</v>
      </c>
    </row>
    <row r="14" spans="1:10">
      <c r="A14" s="80" t="s">
        <v>43</v>
      </c>
      <c r="B14" s="106" t="s">
        <v>9</v>
      </c>
      <c r="C14" s="106" t="s">
        <v>9</v>
      </c>
      <c r="D14" s="107">
        <v>0.73611099999999996</v>
      </c>
      <c r="E14" s="107">
        <v>0.83128899999999994</v>
      </c>
      <c r="F14" s="107">
        <v>0.81318500000000005</v>
      </c>
      <c r="G14" s="107">
        <v>0.82213700000000001</v>
      </c>
      <c r="H14" s="107">
        <v>0.73696799999999996</v>
      </c>
      <c r="I14" s="107">
        <v>0.88126300000000002</v>
      </c>
      <c r="J14" s="108">
        <v>0.32155600000000001</v>
      </c>
    </row>
    <row r="15" spans="1:10">
      <c r="A15" s="81"/>
      <c r="B15" s="101" t="s">
        <v>57</v>
      </c>
      <c r="C15" s="101" t="s">
        <v>57</v>
      </c>
      <c r="D15" s="102">
        <v>0.90371100000000004</v>
      </c>
      <c r="E15" s="102">
        <v>0.90421099999999999</v>
      </c>
      <c r="F15" s="102">
        <v>0.99939999999999996</v>
      </c>
      <c r="G15" s="102">
        <v>0.94969599999999998</v>
      </c>
      <c r="H15" s="102">
        <v>0.57043500000000003</v>
      </c>
      <c r="I15" s="102">
        <v>0.92355399999999999</v>
      </c>
      <c r="J15" s="109">
        <v>0.45207900000000001</v>
      </c>
    </row>
    <row r="16" spans="1:10">
      <c r="A16" s="81"/>
      <c r="B16" s="103" t="s">
        <v>11</v>
      </c>
      <c r="C16" s="104" t="s">
        <v>11</v>
      </c>
      <c r="D16" s="104">
        <v>0.93966700000000003</v>
      </c>
      <c r="E16" s="104">
        <v>0.91244499999999995</v>
      </c>
      <c r="F16" s="104">
        <v>0.97266699999999995</v>
      </c>
      <c r="G16" s="104">
        <v>0.94159400000000004</v>
      </c>
      <c r="H16" s="104">
        <v>0.98776799999999998</v>
      </c>
      <c r="I16" s="104">
        <v>0.98840300000000003</v>
      </c>
      <c r="J16" s="110">
        <v>4.8333000000000001E-2</v>
      </c>
    </row>
    <row r="17" spans="1:10" ht="14.5" thickBot="1">
      <c r="A17" s="82"/>
      <c r="B17" s="111" t="s">
        <v>12</v>
      </c>
      <c r="C17" s="111" t="s">
        <v>12</v>
      </c>
      <c r="D17" s="112">
        <v>0.87111099999999997</v>
      </c>
      <c r="E17" s="112">
        <v>0.86475400000000002</v>
      </c>
      <c r="F17" s="112">
        <v>0.81862299999999999</v>
      </c>
      <c r="G17" s="112">
        <v>0.84105600000000003</v>
      </c>
      <c r="H17" s="112">
        <v>0.94332400000000005</v>
      </c>
      <c r="I17" s="112">
        <v>0.92710899999999996</v>
      </c>
      <c r="J17" s="113">
        <v>0.130914</v>
      </c>
    </row>
    <row r="18" spans="1:10">
      <c r="A18" s="80" t="s">
        <v>44</v>
      </c>
      <c r="B18" s="106" t="s">
        <v>9</v>
      </c>
      <c r="C18" s="106" t="s">
        <v>9</v>
      </c>
      <c r="D18" s="107">
        <v>0.78783300000000001</v>
      </c>
      <c r="E18" s="107">
        <v>0.88815200000000005</v>
      </c>
      <c r="F18" s="107">
        <v>0.820407</v>
      </c>
      <c r="G18" s="107">
        <v>0.85306000000000004</v>
      </c>
      <c r="H18" s="107">
        <v>0.83514100000000002</v>
      </c>
      <c r="I18" s="107">
        <v>0.92607200000000001</v>
      </c>
      <c r="J18" s="108">
        <v>0.237785</v>
      </c>
    </row>
    <row r="19" spans="1:10">
      <c r="A19" s="81"/>
      <c r="B19" s="101" t="s">
        <v>57</v>
      </c>
      <c r="C19" s="101" t="s">
        <v>57</v>
      </c>
      <c r="D19" s="102">
        <v>0.974333</v>
      </c>
      <c r="E19" s="102">
        <v>0.97531299999999999</v>
      </c>
      <c r="F19" s="102">
        <v>0.99684600000000001</v>
      </c>
      <c r="G19" s="102">
        <v>0.98596200000000001</v>
      </c>
      <c r="H19" s="102">
        <v>0.99001399999999995</v>
      </c>
      <c r="I19" s="102">
        <v>0.99882899999999997</v>
      </c>
      <c r="J19" s="109">
        <v>4.5123000000000003E-2</v>
      </c>
    </row>
    <row r="20" spans="1:10">
      <c r="A20" s="81"/>
      <c r="B20" s="103" t="s">
        <v>11</v>
      </c>
      <c r="C20" s="104" t="s">
        <v>11</v>
      </c>
      <c r="D20" s="104">
        <v>0.95099999999999996</v>
      </c>
      <c r="E20" s="104">
        <v>0.980128</v>
      </c>
      <c r="F20" s="104">
        <v>0.92066700000000001</v>
      </c>
      <c r="G20" s="104">
        <v>0.94946699999999995</v>
      </c>
      <c r="H20" s="104">
        <v>0.99214100000000005</v>
      </c>
      <c r="I20" s="104">
        <v>0.99328399999999994</v>
      </c>
      <c r="J20" s="110">
        <v>3.9333E-2</v>
      </c>
    </row>
    <row r="21" spans="1:10" ht="14.5" thickBot="1">
      <c r="A21" s="82"/>
      <c r="B21" s="111" t="s">
        <v>12</v>
      </c>
      <c r="C21" s="111" t="s">
        <v>12</v>
      </c>
      <c r="D21" s="112">
        <v>0.84282800000000002</v>
      </c>
      <c r="E21" s="112">
        <v>0.73777800000000004</v>
      </c>
      <c r="F21" s="112">
        <v>0.96605200000000002</v>
      </c>
      <c r="G21" s="112">
        <v>0.83662300000000001</v>
      </c>
      <c r="H21" s="112">
        <v>0.96207799999999999</v>
      </c>
      <c r="I21" s="112">
        <v>0.95156099999999999</v>
      </c>
      <c r="J21" s="113">
        <v>0.109025</v>
      </c>
    </row>
    <row r="22" spans="1:10">
      <c r="A22" s="80" t="s">
        <v>45</v>
      </c>
      <c r="B22" s="106" t="s">
        <v>9</v>
      </c>
      <c r="C22" s="106" t="s">
        <v>9</v>
      </c>
      <c r="D22" s="107">
        <v>0.80522300000000002</v>
      </c>
      <c r="E22" s="107" t="s">
        <v>51</v>
      </c>
      <c r="F22" s="107" t="s">
        <v>52</v>
      </c>
      <c r="G22" s="107" t="s">
        <v>53</v>
      </c>
      <c r="H22" s="107" t="s">
        <v>54</v>
      </c>
      <c r="I22" s="107" t="s">
        <v>55</v>
      </c>
      <c r="J22" s="108" t="s">
        <v>56</v>
      </c>
    </row>
    <row r="23" spans="1:10">
      <c r="A23" s="81"/>
      <c r="B23" s="101" t="s">
        <v>57</v>
      </c>
      <c r="C23" s="101" t="s">
        <v>57</v>
      </c>
      <c r="D23" s="102">
        <v>0.94883399999999996</v>
      </c>
      <c r="E23" s="102">
        <v>0.95426100000000003</v>
      </c>
      <c r="F23" s="102">
        <v>0.99090900000000004</v>
      </c>
      <c r="G23" s="102">
        <v>0.97223999999999999</v>
      </c>
      <c r="H23" s="102">
        <v>0.95019100000000001</v>
      </c>
      <c r="I23" s="102">
        <v>0.99380999999999997</v>
      </c>
      <c r="J23" s="109">
        <v>0.120439</v>
      </c>
    </row>
    <row r="24" spans="1:10">
      <c r="A24" s="81"/>
      <c r="B24" s="103" t="s">
        <v>11</v>
      </c>
      <c r="C24" s="104" t="s">
        <v>11</v>
      </c>
      <c r="D24" s="104">
        <v>0.98266699999999996</v>
      </c>
      <c r="E24" s="104">
        <v>0.98460499999999995</v>
      </c>
      <c r="F24" s="104">
        <v>0.98066699999999996</v>
      </c>
      <c r="G24" s="104">
        <v>0.98263199999999995</v>
      </c>
      <c r="H24" s="104">
        <v>0.99859900000000001</v>
      </c>
      <c r="I24" s="104">
        <v>0.99865400000000004</v>
      </c>
      <c r="J24" s="110">
        <v>1.7666999999999999E-2</v>
      </c>
    </row>
    <row r="25" spans="1:10" ht="14.5" thickBot="1">
      <c r="A25" s="82"/>
      <c r="B25" s="111" t="s">
        <v>12</v>
      </c>
      <c r="C25" s="111" t="s">
        <v>12</v>
      </c>
      <c r="D25" s="112">
        <v>0.88767700000000005</v>
      </c>
      <c r="E25" s="112">
        <v>0.854186</v>
      </c>
      <c r="F25" s="112">
        <v>0.88069799999999998</v>
      </c>
      <c r="G25" s="112">
        <v>0.86724000000000001</v>
      </c>
      <c r="H25" s="112">
        <v>0.96020300000000003</v>
      </c>
      <c r="I25" s="112">
        <v>0.94979400000000003</v>
      </c>
      <c r="J25" s="113">
        <v>0.114359</v>
      </c>
    </row>
    <row r="26" spans="1:10">
      <c r="A26" s="70" t="s">
        <v>46</v>
      </c>
      <c r="B26" s="106" t="s">
        <v>9</v>
      </c>
      <c r="C26" s="106" t="s">
        <v>9</v>
      </c>
      <c r="D26" s="107">
        <v>0.793489</v>
      </c>
      <c r="E26" s="107">
        <v>0.91030299999999997</v>
      </c>
      <c r="F26" s="107">
        <v>0.80386999999999997</v>
      </c>
      <c r="G26" s="107">
        <v>0.85361900000000002</v>
      </c>
      <c r="H26" s="107">
        <v>0.85377099999999995</v>
      </c>
      <c r="I26" s="107">
        <v>0.93728500000000003</v>
      </c>
      <c r="J26" s="108">
        <v>0.212452</v>
      </c>
    </row>
    <row r="27" spans="1:10">
      <c r="A27" s="71"/>
      <c r="B27" s="101" t="s">
        <v>57</v>
      </c>
      <c r="C27" s="101" t="s">
        <v>57</v>
      </c>
      <c r="D27" s="102">
        <v>0.92702600000000002</v>
      </c>
      <c r="E27" s="102">
        <v>0.92722899999999997</v>
      </c>
      <c r="F27" s="102">
        <v>0.99758800000000003</v>
      </c>
      <c r="G27" s="102">
        <v>0.96112299999999995</v>
      </c>
      <c r="H27" s="102">
        <v>0.93797600000000003</v>
      </c>
      <c r="I27" s="102">
        <v>0.99225600000000003</v>
      </c>
      <c r="J27" s="109">
        <v>0.14189299999999999</v>
      </c>
    </row>
    <row r="28" spans="1:10">
      <c r="A28" s="71"/>
      <c r="B28" s="103" t="s">
        <v>11</v>
      </c>
      <c r="C28" s="104" t="s">
        <v>11</v>
      </c>
      <c r="D28" s="104">
        <v>0.97699999999999998</v>
      </c>
      <c r="E28" s="104">
        <v>0.98181799999999997</v>
      </c>
      <c r="F28" s="104">
        <v>0.97199999999999998</v>
      </c>
      <c r="G28" s="104">
        <v>0.97688399999999997</v>
      </c>
      <c r="H28" s="104">
        <v>0.99660199999999999</v>
      </c>
      <c r="I28" s="104">
        <v>0.997174</v>
      </c>
      <c r="J28" s="110">
        <v>2.2667E-2</v>
      </c>
    </row>
    <row r="29" spans="1:10" ht="14.5" thickBot="1">
      <c r="A29" s="72"/>
      <c r="B29" s="111" t="s">
        <v>12</v>
      </c>
      <c r="C29" s="111" t="s">
        <v>12</v>
      </c>
      <c r="D29" s="112">
        <v>0.86828300000000003</v>
      </c>
      <c r="E29" s="112">
        <v>0.77304399999999995</v>
      </c>
      <c r="F29" s="112">
        <v>0.96799199999999996</v>
      </c>
      <c r="G29" s="112">
        <v>0.85960400000000003</v>
      </c>
      <c r="H29" s="112">
        <v>0.97433700000000001</v>
      </c>
      <c r="I29" s="112">
        <v>0.96711899999999995</v>
      </c>
      <c r="J29" s="113">
        <v>9.2955999999999997E-2</v>
      </c>
    </row>
    <row r="30" spans="1:10">
      <c r="A30" s="70" t="s">
        <v>47</v>
      </c>
      <c r="B30" s="106" t="s">
        <v>9</v>
      </c>
      <c r="C30" s="106" t="s">
        <v>9</v>
      </c>
      <c r="D30" s="107">
        <v>0.80043299999999995</v>
      </c>
      <c r="E30" s="107">
        <v>0.93154000000000003</v>
      </c>
      <c r="F30" s="107">
        <v>0.79213999999999996</v>
      </c>
      <c r="G30" s="107">
        <v>0.85655099999999995</v>
      </c>
      <c r="H30" s="107">
        <v>0.88633899999999999</v>
      </c>
      <c r="I30" s="107">
        <v>0.95823700000000001</v>
      </c>
      <c r="J30" s="108">
        <v>0.194941</v>
      </c>
    </row>
    <row r="31" spans="1:10">
      <c r="A31" s="71"/>
      <c r="B31" s="101" t="s">
        <v>57</v>
      </c>
      <c r="C31" s="101" t="s">
        <v>57</v>
      </c>
      <c r="D31" s="102">
        <v>0.95738999999999996</v>
      </c>
      <c r="E31" s="102">
        <v>0.95612799999999998</v>
      </c>
      <c r="F31" s="102">
        <v>0.99870099999999995</v>
      </c>
      <c r="G31" s="102">
        <v>0.97695100000000001</v>
      </c>
      <c r="H31" s="102">
        <v>0.98453900000000005</v>
      </c>
      <c r="I31" s="102">
        <v>0.998116</v>
      </c>
      <c r="J31" s="109">
        <v>5.4604E-2</v>
      </c>
    </row>
    <row r="32" spans="1:10">
      <c r="A32" s="71"/>
      <c r="B32" s="103" t="s">
        <v>11</v>
      </c>
      <c r="C32" s="104" t="s">
        <v>11</v>
      </c>
      <c r="D32" s="104">
        <v>0.98799999999999999</v>
      </c>
      <c r="E32" s="104">
        <v>0.98995999999999995</v>
      </c>
      <c r="F32" s="104">
        <v>0.98599999999999999</v>
      </c>
      <c r="G32" s="104">
        <v>0.98797599999999997</v>
      </c>
      <c r="H32" s="104">
        <v>0.99835700000000005</v>
      </c>
      <c r="I32" s="104">
        <v>0.99848899999999996</v>
      </c>
      <c r="J32" s="110">
        <v>0.01</v>
      </c>
    </row>
    <row r="33" spans="1:10" ht="14.5" thickBot="1">
      <c r="A33" s="72"/>
      <c r="B33" s="111" t="s">
        <v>12</v>
      </c>
      <c r="C33" s="111" t="s">
        <v>12</v>
      </c>
      <c r="D33" s="112">
        <v>0.87797999999999998</v>
      </c>
      <c r="E33" s="112">
        <v>0.79561999999999999</v>
      </c>
      <c r="F33" s="112">
        <v>0.95150299999999999</v>
      </c>
      <c r="G33" s="112">
        <v>0.86660800000000004</v>
      </c>
      <c r="H33" s="112">
        <v>0.968198</v>
      </c>
      <c r="I33" s="112">
        <v>0.96070299999999997</v>
      </c>
      <c r="J33" s="113">
        <v>9.4132999999999994E-2</v>
      </c>
    </row>
    <row r="34" spans="1:10">
      <c r="A34" s="70" t="s">
        <v>48</v>
      </c>
      <c r="B34" s="106" t="s">
        <v>9</v>
      </c>
      <c r="C34" s="106" t="s">
        <v>9</v>
      </c>
      <c r="D34" s="107">
        <v>0.81933299999999998</v>
      </c>
      <c r="E34" s="107">
        <v>0.92575200000000002</v>
      </c>
      <c r="F34" s="107">
        <v>0.825407</v>
      </c>
      <c r="G34" s="107">
        <v>0.87275999999999998</v>
      </c>
      <c r="H34" s="107">
        <v>0.88534100000000004</v>
      </c>
      <c r="I34" s="107">
        <v>0.95827200000000001</v>
      </c>
      <c r="J34" s="108">
        <v>0.18618499999999999</v>
      </c>
    </row>
    <row r="35" spans="1:10">
      <c r="A35" s="71"/>
      <c r="B35" s="101" t="s">
        <v>57</v>
      </c>
      <c r="C35" s="101" t="s">
        <v>57</v>
      </c>
      <c r="D35" s="102">
        <v>0.974333</v>
      </c>
      <c r="E35" s="102">
        <v>0.97531299999999999</v>
      </c>
      <c r="F35" s="102">
        <v>0.99684600000000001</v>
      </c>
      <c r="G35" s="102">
        <v>0.98596200000000001</v>
      </c>
      <c r="H35" s="102">
        <v>0.99001399999999995</v>
      </c>
      <c r="I35" s="102">
        <v>0.99882899999999997</v>
      </c>
      <c r="J35" s="109">
        <v>4.5123000000000003E-2</v>
      </c>
    </row>
    <row r="36" spans="1:10">
      <c r="A36" s="71"/>
      <c r="B36" s="103" t="s">
        <v>11</v>
      </c>
      <c r="C36" s="104" t="s">
        <v>11</v>
      </c>
      <c r="D36" s="104">
        <v>0.99066699999999996</v>
      </c>
      <c r="E36" s="104">
        <v>0.98871200000000004</v>
      </c>
      <c r="F36" s="104">
        <v>0.99266699999999997</v>
      </c>
      <c r="G36" s="104">
        <v>0.99068500000000004</v>
      </c>
      <c r="H36" s="104">
        <v>0.99782999999999999</v>
      </c>
      <c r="I36" s="104">
        <v>0.99501600000000001</v>
      </c>
      <c r="J36" s="110">
        <v>8.9999999999999993E-3</v>
      </c>
    </row>
    <row r="37" spans="1:10" ht="14.5" thickBot="1">
      <c r="A37" s="72"/>
      <c r="B37" s="111" t="s">
        <v>12</v>
      </c>
      <c r="C37" s="111" t="s">
        <v>12</v>
      </c>
      <c r="D37" s="112">
        <v>0.90424199999999999</v>
      </c>
      <c r="E37" s="112">
        <v>0.85132699999999994</v>
      </c>
      <c r="F37" s="112">
        <v>0.93307499999999999</v>
      </c>
      <c r="G37" s="112">
        <v>0.89032900000000004</v>
      </c>
      <c r="H37" s="112">
        <v>0.97553599999999996</v>
      </c>
      <c r="I37" s="112">
        <v>0.96758299999999997</v>
      </c>
      <c r="J37" s="113">
        <v>9.4271999999999995E-2</v>
      </c>
    </row>
    <row r="38" spans="1:10">
      <c r="A38" s="70" t="s">
        <v>49</v>
      </c>
      <c r="B38" s="106" t="s">
        <v>9</v>
      </c>
      <c r="C38" s="106" t="s">
        <v>9</v>
      </c>
      <c r="D38" s="107">
        <v>0.81183300000000003</v>
      </c>
      <c r="E38" s="107">
        <v>0.85570000000000002</v>
      </c>
      <c r="F38" s="107">
        <v>0.89820699999999998</v>
      </c>
      <c r="G38" s="107">
        <v>0.87757700000000005</v>
      </c>
      <c r="H38" s="107">
        <v>0.84162099999999995</v>
      </c>
      <c r="I38" s="107">
        <v>0.937276</v>
      </c>
      <c r="J38" s="108">
        <v>0.237348</v>
      </c>
    </row>
    <row r="39" spans="1:10">
      <c r="A39" s="71"/>
      <c r="B39" s="101" t="s">
        <v>57</v>
      </c>
      <c r="C39" s="101" t="s">
        <v>57</v>
      </c>
      <c r="D39" s="102">
        <v>0.99245099999999997</v>
      </c>
      <c r="E39" s="102">
        <v>0.99280800000000002</v>
      </c>
      <c r="F39" s="102">
        <v>0.99888699999999997</v>
      </c>
      <c r="G39" s="102">
        <v>0.995838</v>
      </c>
      <c r="H39" s="102">
        <v>0.999085</v>
      </c>
      <c r="I39" s="102">
        <v>0.99990100000000004</v>
      </c>
      <c r="J39" s="109">
        <v>1.387E-2</v>
      </c>
    </row>
    <row r="40" spans="1:10">
      <c r="A40" s="71"/>
      <c r="B40" s="103" t="s">
        <v>11</v>
      </c>
      <c r="C40" s="104" t="s">
        <v>11</v>
      </c>
      <c r="D40" s="104">
        <v>0.99666699999999997</v>
      </c>
      <c r="E40" s="104">
        <v>0.99666699999999997</v>
      </c>
      <c r="F40" s="104">
        <v>0.99666699999999997</v>
      </c>
      <c r="G40" s="104">
        <v>0.99666699999999997</v>
      </c>
      <c r="H40" s="104">
        <v>0.99989899999999998</v>
      </c>
      <c r="I40" s="104">
        <v>0.99989600000000001</v>
      </c>
      <c r="J40" s="110">
        <v>3.333E-3</v>
      </c>
    </row>
    <row r="41" spans="1:10" ht="14.5" thickBot="1">
      <c r="A41" s="72"/>
      <c r="B41" s="111" t="s">
        <v>12</v>
      </c>
      <c r="C41" s="111" t="s">
        <v>12</v>
      </c>
      <c r="D41" s="112">
        <v>0.94989900000000005</v>
      </c>
      <c r="E41" s="112">
        <v>0.95486499999999996</v>
      </c>
      <c r="F41" s="112">
        <v>0.92337499999999995</v>
      </c>
      <c r="G41" s="112">
        <v>0.93885600000000002</v>
      </c>
      <c r="H41" s="112">
        <v>0.98986700000000005</v>
      </c>
      <c r="I41" s="112">
        <v>0.98720799999999997</v>
      </c>
      <c r="J41" s="113">
        <v>5.2850000000000001E-2</v>
      </c>
    </row>
    <row r="42" spans="1:10">
      <c r="A42" s="70" t="s">
        <v>50</v>
      </c>
      <c r="B42" s="106" t="s">
        <v>9</v>
      </c>
      <c r="C42" s="106" t="s">
        <v>9</v>
      </c>
      <c r="D42" s="107">
        <v>0.79116699999999995</v>
      </c>
      <c r="E42" s="107">
        <v>0.82411699999999999</v>
      </c>
      <c r="F42" s="107">
        <v>0.91733299999999995</v>
      </c>
      <c r="G42" s="107">
        <v>0.86822999999999995</v>
      </c>
      <c r="H42" s="107">
        <v>0.81392200000000003</v>
      </c>
      <c r="I42" s="107">
        <v>0.92868499999999998</v>
      </c>
      <c r="J42" s="108">
        <v>0.27140700000000001</v>
      </c>
    </row>
    <row r="43" spans="1:10">
      <c r="A43" s="71"/>
      <c r="B43" s="101" t="s">
        <v>57</v>
      </c>
      <c r="C43" s="101" t="s">
        <v>57</v>
      </c>
      <c r="D43" s="102">
        <v>0.96477100000000005</v>
      </c>
      <c r="E43" s="102">
        <v>0.96801599999999999</v>
      </c>
      <c r="F43" s="102">
        <v>0.99387800000000004</v>
      </c>
      <c r="G43" s="102">
        <v>0.98077599999999998</v>
      </c>
      <c r="H43" s="102">
        <v>0.98053699999999999</v>
      </c>
      <c r="I43" s="102">
        <v>0.99770400000000004</v>
      </c>
      <c r="J43" s="109">
        <v>6.8566000000000002E-2</v>
      </c>
    </row>
    <row r="44" spans="1:10" ht="14.5" thickBot="1">
      <c r="A44" s="71"/>
      <c r="B44" s="103" t="s">
        <v>11</v>
      </c>
      <c r="C44" s="104" t="s">
        <v>11</v>
      </c>
      <c r="D44" s="104">
        <v>0.98099999999999998</v>
      </c>
      <c r="E44" s="104">
        <v>0.97560999999999998</v>
      </c>
      <c r="F44" s="104">
        <v>0.98666699999999996</v>
      </c>
      <c r="G44" s="104">
        <v>0.98110699999999995</v>
      </c>
      <c r="H44" s="104">
        <v>0.99815699999999996</v>
      </c>
      <c r="I44" s="104">
        <v>0.998108</v>
      </c>
      <c r="J44" s="110">
        <v>2.1000000000000001E-2</v>
      </c>
    </row>
    <row r="45" spans="1:10" ht="14.5" thickBot="1">
      <c r="A45" s="72"/>
      <c r="B45" s="111" t="s">
        <v>12</v>
      </c>
      <c r="C45" s="111" t="s">
        <v>12</v>
      </c>
      <c r="D45" s="11">
        <v>0.83030000000000004</v>
      </c>
      <c r="E45" s="11">
        <v>0.74539999999999995</v>
      </c>
      <c r="F45" s="11">
        <v>0.90010000000000001</v>
      </c>
      <c r="G45" s="11">
        <v>0.8155</v>
      </c>
      <c r="H45" s="11">
        <v>0.84030000000000005</v>
      </c>
      <c r="I45" s="11">
        <v>0.85119999999999996</v>
      </c>
      <c r="J45" s="23">
        <v>0.104478</v>
      </c>
    </row>
  </sheetData>
  <mergeCells count="11">
    <mergeCell ref="A42:A45"/>
    <mergeCell ref="A34:A37"/>
    <mergeCell ref="A38:A41"/>
    <mergeCell ref="A26:A29"/>
    <mergeCell ref="A30:A33"/>
    <mergeCell ref="A18:A21"/>
    <mergeCell ref="A22:A25"/>
    <mergeCell ref="A10:A13"/>
    <mergeCell ref="A14:A17"/>
    <mergeCell ref="A2:A5"/>
    <mergeCell ref="A6:A9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02D1-E57E-4196-A95A-12DA4E034C17}">
  <dimension ref="A1:I45"/>
  <sheetViews>
    <sheetView zoomScaleNormal="100" workbookViewId="0">
      <pane ySplit="1" topLeftCell="A2" activePane="bottomLeft" state="frozen"/>
      <selection pane="bottomLeft" activeCell="H49" sqref="H49"/>
    </sheetView>
  </sheetViews>
  <sheetFormatPr defaultRowHeight="14"/>
  <cols>
    <col min="1" max="1" width="16.33203125" bestFit="1" customWidth="1"/>
    <col min="2" max="2" width="13.08203125" bestFit="1" customWidth="1"/>
  </cols>
  <sheetData>
    <row r="1" spans="1:9">
      <c r="A1" t="s">
        <v>65</v>
      </c>
      <c r="B1" t="s">
        <v>29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66</v>
      </c>
      <c r="B2" t="s">
        <v>11</v>
      </c>
      <c r="C2">
        <v>0.72870000000000001</v>
      </c>
      <c r="D2">
        <v>0.65629999999999999</v>
      </c>
      <c r="E2">
        <v>0.96</v>
      </c>
      <c r="F2">
        <v>0.77959999999999996</v>
      </c>
      <c r="G2">
        <v>0.8972</v>
      </c>
      <c r="H2">
        <v>0.89539999999999997</v>
      </c>
      <c r="I2">
        <v>0.182</v>
      </c>
    </row>
    <row r="3" spans="1:9">
      <c r="A3" t="s">
        <v>66</v>
      </c>
      <c r="B3" t="s">
        <v>10</v>
      </c>
      <c r="C3">
        <v>0.89780000000000004</v>
      </c>
      <c r="D3">
        <v>0.92120000000000002</v>
      </c>
      <c r="E3">
        <v>0.96989999999999998</v>
      </c>
      <c r="F3">
        <v>0.94499999999999995</v>
      </c>
      <c r="G3">
        <v>0.79239999999999999</v>
      </c>
      <c r="H3">
        <v>0.96619999999999995</v>
      </c>
      <c r="I3">
        <v>0.26840000000000003</v>
      </c>
    </row>
    <row r="4" spans="1:9">
      <c r="A4" t="s">
        <v>66</v>
      </c>
      <c r="B4" t="s">
        <v>12</v>
      </c>
      <c r="C4">
        <v>0.77359999999999995</v>
      </c>
      <c r="D4">
        <v>0.75819999999999999</v>
      </c>
      <c r="E4">
        <v>0.77359999999999995</v>
      </c>
      <c r="F4">
        <v>0.75960000000000005</v>
      </c>
      <c r="G4">
        <v>0.78420000000000001</v>
      </c>
      <c r="H4">
        <v>0.75819999999999999</v>
      </c>
      <c r="I4">
        <v>0.21579999999999999</v>
      </c>
    </row>
    <row r="5" spans="1:9">
      <c r="A5" t="s">
        <v>66</v>
      </c>
      <c r="B5" t="s">
        <v>9</v>
      </c>
      <c r="C5">
        <v>0.74960000000000004</v>
      </c>
      <c r="D5">
        <v>0.75029999999999997</v>
      </c>
      <c r="E5">
        <v>0.99839999999999995</v>
      </c>
      <c r="F5">
        <v>0.85670000000000002</v>
      </c>
      <c r="G5">
        <v>0.62529999999999997</v>
      </c>
      <c r="H5">
        <v>0.80779999999999996</v>
      </c>
      <c r="I5">
        <v>0.40539999999999998</v>
      </c>
    </row>
    <row r="6" spans="1:9">
      <c r="A6" t="s">
        <v>59</v>
      </c>
      <c r="B6" t="s">
        <v>11</v>
      </c>
      <c r="C6">
        <v>0.97199999999999998</v>
      </c>
      <c r="D6">
        <v>0.96699999999999997</v>
      </c>
      <c r="E6">
        <v>0.97729999999999995</v>
      </c>
      <c r="F6">
        <v>0.97209999999999996</v>
      </c>
      <c r="G6">
        <v>0.99509999999999998</v>
      </c>
      <c r="H6">
        <v>0.99570000000000003</v>
      </c>
      <c r="I6">
        <v>2.8299999999999999E-2</v>
      </c>
    </row>
    <row r="7" spans="1:9">
      <c r="A7" t="s">
        <v>59</v>
      </c>
      <c r="B7" t="s">
        <v>10</v>
      </c>
      <c r="C7">
        <v>0.93459999999999999</v>
      </c>
      <c r="D7">
        <v>0.94879999999999998</v>
      </c>
      <c r="E7">
        <v>0.98050000000000004</v>
      </c>
      <c r="F7">
        <v>0.96440000000000003</v>
      </c>
      <c r="G7">
        <v>0.90349999999999997</v>
      </c>
      <c r="H7">
        <v>0.9859</v>
      </c>
      <c r="I7">
        <v>0.1739</v>
      </c>
    </row>
    <row r="8" spans="1:9">
      <c r="A8" t="s">
        <v>59</v>
      </c>
      <c r="B8" t="s">
        <v>12</v>
      </c>
      <c r="C8">
        <v>0.87150000000000005</v>
      </c>
      <c r="D8">
        <v>0.77569999999999995</v>
      </c>
      <c r="E8">
        <v>0.9728</v>
      </c>
      <c r="F8">
        <v>0.86319999999999997</v>
      </c>
      <c r="G8">
        <v>0.97819999999999996</v>
      </c>
      <c r="H8">
        <v>0.9728</v>
      </c>
      <c r="I8">
        <v>8.1199999999999994E-2</v>
      </c>
    </row>
    <row r="9" spans="1:9">
      <c r="A9" t="s">
        <v>59</v>
      </c>
      <c r="B9" t="s">
        <v>9</v>
      </c>
      <c r="C9">
        <v>0.7923</v>
      </c>
      <c r="D9">
        <v>0.91869999999999996</v>
      </c>
      <c r="E9">
        <v>0.79330000000000001</v>
      </c>
      <c r="F9">
        <v>0.85140000000000005</v>
      </c>
      <c r="G9">
        <v>0.86360000000000003</v>
      </c>
      <c r="H9">
        <v>0.95109999999999995</v>
      </c>
      <c r="I9">
        <v>0.20860000000000001</v>
      </c>
    </row>
    <row r="10" spans="1:9">
      <c r="A10" t="s">
        <v>67</v>
      </c>
      <c r="B10" t="s">
        <v>11</v>
      </c>
      <c r="C10">
        <v>0.93969999999999998</v>
      </c>
      <c r="D10">
        <v>0.91239999999999999</v>
      </c>
      <c r="E10">
        <v>0.97270000000000001</v>
      </c>
      <c r="F10">
        <v>0.94159999999999999</v>
      </c>
      <c r="G10">
        <v>0.98780000000000001</v>
      </c>
      <c r="H10">
        <v>0.98839999999999995</v>
      </c>
      <c r="I10">
        <v>4.8300000000000003E-2</v>
      </c>
    </row>
    <row r="11" spans="1:9">
      <c r="A11" t="s">
        <v>67</v>
      </c>
      <c r="B11" t="s">
        <v>10</v>
      </c>
      <c r="C11">
        <v>0.90369999999999995</v>
      </c>
      <c r="D11">
        <v>0.9042</v>
      </c>
      <c r="E11">
        <v>0.99939999999999996</v>
      </c>
      <c r="F11">
        <v>0.94940000000000002</v>
      </c>
      <c r="G11">
        <v>0.57040000000000002</v>
      </c>
      <c r="H11">
        <v>0.92349999999999999</v>
      </c>
      <c r="I11">
        <v>0.4521</v>
      </c>
    </row>
    <row r="12" spans="1:9">
      <c r="A12" t="s">
        <v>67</v>
      </c>
      <c r="B12" t="s">
        <v>12</v>
      </c>
      <c r="C12">
        <v>0.87109999999999999</v>
      </c>
      <c r="D12">
        <v>0.86480000000000001</v>
      </c>
      <c r="E12">
        <v>0.81859999999999999</v>
      </c>
      <c r="F12">
        <v>0.84109999999999996</v>
      </c>
      <c r="G12">
        <v>0.94330000000000003</v>
      </c>
      <c r="H12">
        <v>0.92710000000000004</v>
      </c>
      <c r="I12">
        <v>0.13089999999999999</v>
      </c>
    </row>
    <row r="13" spans="1:9">
      <c r="A13" t="s">
        <v>67</v>
      </c>
      <c r="B13" t="s">
        <v>9</v>
      </c>
      <c r="C13">
        <v>0.73609999999999998</v>
      </c>
      <c r="D13">
        <v>0.83130000000000004</v>
      </c>
      <c r="E13">
        <v>0.81320000000000003</v>
      </c>
      <c r="F13">
        <v>0.82210000000000005</v>
      </c>
      <c r="G13">
        <v>0.73699999999999999</v>
      </c>
      <c r="H13">
        <v>0.88129999999999997</v>
      </c>
      <c r="I13">
        <v>0.3216</v>
      </c>
    </row>
    <row r="14" spans="1:9">
      <c r="A14" t="s">
        <v>68</v>
      </c>
      <c r="B14" t="s">
        <v>11</v>
      </c>
      <c r="C14">
        <v>0.93899999999999995</v>
      </c>
      <c r="D14">
        <v>0.90180000000000005</v>
      </c>
      <c r="E14">
        <v>0.98529999999999995</v>
      </c>
      <c r="F14">
        <v>0.94169999999999998</v>
      </c>
      <c r="G14">
        <v>0.99270000000000003</v>
      </c>
      <c r="H14">
        <v>0.99309999999999998</v>
      </c>
      <c r="I14">
        <v>4.2000000000000003E-2</v>
      </c>
    </row>
    <row r="15" spans="1:9">
      <c r="A15" t="s">
        <v>68</v>
      </c>
      <c r="B15" t="s">
        <v>10</v>
      </c>
      <c r="C15">
        <v>0.94630000000000003</v>
      </c>
      <c r="D15">
        <v>0.96109999999999995</v>
      </c>
      <c r="E15">
        <v>0.98029999999999995</v>
      </c>
      <c r="F15">
        <v>0.97060000000000002</v>
      </c>
      <c r="G15">
        <v>0.94840000000000002</v>
      </c>
      <c r="H15">
        <v>0.99370000000000003</v>
      </c>
      <c r="I15">
        <v>0.12909999999999999</v>
      </c>
    </row>
    <row r="16" spans="1:9">
      <c r="A16" t="s">
        <v>68</v>
      </c>
      <c r="B16" t="s">
        <v>12</v>
      </c>
      <c r="C16">
        <v>0.78590000000000004</v>
      </c>
      <c r="D16">
        <v>0.7651</v>
      </c>
      <c r="E16">
        <v>0.70130000000000003</v>
      </c>
      <c r="F16">
        <v>0.73180000000000001</v>
      </c>
      <c r="G16">
        <v>0.87370000000000003</v>
      </c>
      <c r="H16">
        <v>0.80689999999999995</v>
      </c>
      <c r="I16">
        <v>0.20979999999999999</v>
      </c>
    </row>
    <row r="17" spans="1:9">
      <c r="A17" t="s">
        <v>68</v>
      </c>
      <c r="B17" t="s">
        <v>9</v>
      </c>
      <c r="C17">
        <v>0.75949999999999995</v>
      </c>
      <c r="D17">
        <v>0.83979999999999999</v>
      </c>
      <c r="E17">
        <v>0.83979999999999999</v>
      </c>
      <c r="F17">
        <v>0.8397</v>
      </c>
      <c r="G17">
        <v>0.67949999999999999</v>
      </c>
      <c r="H17">
        <v>0.83989999999999998</v>
      </c>
      <c r="I17">
        <v>0.3206</v>
      </c>
    </row>
    <row r="18" spans="1:9">
      <c r="A18" t="s">
        <v>69</v>
      </c>
      <c r="B18" t="s">
        <v>11</v>
      </c>
      <c r="C18">
        <v>0.95099999999999996</v>
      </c>
      <c r="D18">
        <v>0.98009999999999997</v>
      </c>
      <c r="E18">
        <v>0.92069999999999996</v>
      </c>
      <c r="F18">
        <v>0.94950000000000001</v>
      </c>
      <c r="G18">
        <v>0.99209999999999998</v>
      </c>
      <c r="H18">
        <v>0.99329999999999996</v>
      </c>
      <c r="I18">
        <v>3.9300000000000002E-2</v>
      </c>
    </row>
    <row r="19" spans="1:9">
      <c r="A19" t="s">
        <v>69</v>
      </c>
      <c r="B19" t="s">
        <v>10</v>
      </c>
      <c r="C19">
        <v>0.90369999999999995</v>
      </c>
      <c r="D19">
        <v>0.9042</v>
      </c>
      <c r="E19">
        <v>0.99939999999999996</v>
      </c>
      <c r="F19">
        <v>0.94940000000000002</v>
      </c>
      <c r="G19">
        <v>0.5706</v>
      </c>
      <c r="H19">
        <v>0.92349999999999999</v>
      </c>
      <c r="I19">
        <v>0.4521</v>
      </c>
    </row>
    <row r="20" spans="1:9">
      <c r="A20" t="s">
        <v>69</v>
      </c>
      <c r="B20" t="s">
        <v>12</v>
      </c>
      <c r="C20">
        <v>0.84279999999999999</v>
      </c>
      <c r="D20">
        <v>0.73780000000000001</v>
      </c>
      <c r="E20">
        <v>0.96609999999999996</v>
      </c>
      <c r="F20">
        <v>0.83660000000000001</v>
      </c>
      <c r="G20">
        <v>0.96209999999999996</v>
      </c>
      <c r="H20">
        <v>0.9516</v>
      </c>
      <c r="I20">
        <v>0.109</v>
      </c>
    </row>
    <row r="21" spans="1:9">
      <c r="A21" t="s">
        <v>69</v>
      </c>
      <c r="B21" t="s">
        <v>9</v>
      </c>
      <c r="C21">
        <v>0.78779999999999994</v>
      </c>
      <c r="D21">
        <v>0.8881</v>
      </c>
      <c r="E21">
        <v>0.82040000000000002</v>
      </c>
      <c r="F21">
        <v>0.85299999999999998</v>
      </c>
      <c r="G21">
        <v>0.83509999999999995</v>
      </c>
      <c r="H21">
        <v>0.92600000000000005</v>
      </c>
      <c r="I21">
        <v>0.23769999999999999</v>
      </c>
    </row>
    <row r="22" spans="1:9">
      <c r="A22" t="s">
        <v>70</v>
      </c>
      <c r="B22" t="s">
        <v>11</v>
      </c>
      <c r="C22">
        <v>0.98270000000000002</v>
      </c>
      <c r="D22">
        <v>0.98460000000000003</v>
      </c>
      <c r="E22">
        <v>0.98070000000000002</v>
      </c>
      <c r="F22">
        <v>0.98260000000000003</v>
      </c>
      <c r="G22">
        <v>0.99860000000000004</v>
      </c>
      <c r="H22">
        <v>0.99870000000000003</v>
      </c>
      <c r="I22">
        <v>1.77E-2</v>
      </c>
    </row>
    <row r="23" spans="1:9">
      <c r="A23" t="s">
        <v>70</v>
      </c>
      <c r="B23" t="s">
        <v>10</v>
      </c>
      <c r="C23">
        <v>0.94879999999999998</v>
      </c>
      <c r="D23">
        <v>0.95430000000000004</v>
      </c>
      <c r="E23">
        <v>0.9909</v>
      </c>
      <c r="F23">
        <v>0.97219999999999995</v>
      </c>
      <c r="G23">
        <v>0.95020000000000004</v>
      </c>
      <c r="H23">
        <v>0.99380000000000002</v>
      </c>
      <c r="I23">
        <v>0.12039999999999999</v>
      </c>
    </row>
    <row r="24" spans="1:9">
      <c r="A24" t="s">
        <v>70</v>
      </c>
      <c r="B24" t="s">
        <v>12</v>
      </c>
      <c r="C24">
        <v>0.88770000000000004</v>
      </c>
      <c r="D24">
        <v>0.85419999999999996</v>
      </c>
      <c r="E24">
        <v>0.88070000000000004</v>
      </c>
      <c r="F24">
        <v>0.86719999999999997</v>
      </c>
      <c r="G24">
        <v>0.96020000000000005</v>
      </c>
      <c r="H24">
        <v>0.94979999999999998</v>
      </c>
      <c r="I24">
        <v>0.1144</v>
      </c>
    </row>
    <row r="25" spans="1:9">
      <c r="A25" t="s">
        <v>70</v>
      </c>
      <c r="B25" t="s">
        <v>9</v>
      </c>
      <c r="C25">
        <v>0.80520000000000003</v>
      </c>
      <c r="D25">
        <v>0.87009999999999998</v>
      </c>
      <c r="E25">
        <v>0.87009999999999998</v>
      </c>
      <c r="F25">
        <v>0.87009999999999998</v>
      </c>
      <c r="G25">
        <v>0.74029999999999996</v>
      </c>
      <c r="H25">
        <v>0.87009999999999998</v>
      </c>
      <c r="I25">
        <v>0.1948</v>
      </c>
    </row>
    <row r="26" spans="1:9">
      <c r="A26" t="s">
        <v>71</v>
      </c>
      <c r="B26" t="s">
        <v>11</v>
      </c>
      <c r="C26">
        <v>0.97699999999999998</v>
      </c>
      <c r="D26">
        <v>0.98180000000000001</v>
      </c>
      <c r="E26">
        <v>0.97199999999999998</v>
      </c>
      <c r="F26">
        <v>0.97689999999999999</v>
      </c>
      <c r="G26">
        <v>0.99660000000000004</v>
      </c>
      <c r="H26">
        <v>0.99719999999999998</v>
      </c>
      <c r="I26">
        <v>2.2700000000000001E-2</v>
      </c>
    </row>
    <row r="27" spans="1:9">
      <c r="A27" t="s">
        <v>71</v>
      </c>
      <c r="B27" t="s">
        <v>10</v>
      </c>
      <c r="C27">
        <v>0.92700000000000005</v>
      </c>
      <c r="D27">
        <v>0.92720000000000002</v>
      </c>
      <c r="E27">
        <v>0.99760000000000004</v>
      </c>
      <c r="F27">
        <v>0.96109999999999995</v>
      </c>
      <c r="G27">
        <v>0.93799999999999994</v>
      </c>
      <c r="H27">
        <v>0.99229999999999996</v>
      </c>
      <c r="I27">
        <v>0.1419</v>
      </c>
    </row>
    <row r="28" spans="1:9">
      <c r="A28" t="s">
        <v>71</v>
      </c>
      <c r="B28" t="s">
        <v>12</v>
      </c>
      <c r="C28">
        <v>0.86829999999999996</v>
      </c>
      <c r="D28">
        <v>0.77300000000000002</v>
      </c>
      <c r="E28">
        <v>0.96799999999999997</v>
      </c>
      <c r="F28">
        <v>0.85960000000000003</v>
      </c>
      <c r="G28">
        <v>0.97430000000000005</v>
      </c>
      <c r="H28">
        <v>0.96709999999999996</v>
      </c>
      <c r="I28">
        <v>9.2999999999999999E-2</v>
      </c>
    </row>
    <row r="29" spans="1:9">
      <c r="A29" t="s">
        <v>71</v>
      </c>
      <c r="B29" t="s">
        <v>9</v>
      </c>
      <c r="C29">
        <v>0.79349999999999998</v>
      </c>
      <c r="D29">
        <v>0.9103</v>
      </c>
      <c r="E29">
        <v>0.80389999999999995</v>
      </c>
      <c r="F29">
        <v>0.85360000000000003</v>
      </c>
      <c r="G29">
        <v>0.8538</v>
      </c>
      <c r="H29">
        <v>0.93730000000000002</v>
      </c>
      <c r="I29">
        <v>0.21249999999999999</v>
      </c>
    </row>
    <row r="30" spans="1:9">
      <c r="A30" t="s">
        <v>72</v>
      </c>
      <c r="B30" t="s">
        <v>11</v>
      </c>
      <c r="C30">
        <v>0.99070000000000003</v>
      </c>
      <c r="D30">
        <v>0.98870000000000002</v>
      </c>
      <c r="E30">
        <v>0.99270000000000003</v>
      </c>
      <c r="F30">
        <v>0.99070000000000003</v>
      </c>
      <c r="G30">
        <v>0.99780000000000002</v>
      </c>
      <c r="H30">
        <v>0.995</v>
      </c>
      <c r="I30">
        <v>8.9999999999999993E-3</v>
      </c>
    </row>
    <row r="31" spans="1:9">
      <c r="A31" t="s">
        <v>72</v>
      </c>
      <c r="B31" t="s">
        <v>10</v>
      </c>
      <c r="C31">
        <v>0.97430000000000005</v>
      </c>
      <c r="D31">
        <v>0.97529999999999994</v>
      </c>
      <c r="E31">
        <v>0.99680000000000002</v>
      </c>
      <c r="F31">
        <v>0.98599999999999999</v>
      </c>
      <c r="G31">
        <v>0.99</v>
      </c>
      <c r="H31">
        <v>0.99880000000000002</v>
      </c>
      <c r="I31">
        <v>4.5100000000000001E-2</v>
      </c>
    </row>
    <row r="32" spans="1:9">
      <c r="A32" t="s">
        <v>72</v>
      </c>
      <c r="B32" t="s">
        <v>12</v>
      </c>
      <c r="C32">
        <v>0.9042</v>
      </c>
      <c r="D32">
        <v>0.85129999999999995</v>
      </c>
      <c r="E32">
        <v>0.93310000000000004</v>
      </c>
      <c r="F32">
        <v>0.89029999999999998</v>
      </c>
      <c r="G32">
        <v>0.97550000000000003</v>
      </c>
      <c r="H32">
        <v>0.96760000000000002</v>
      </c>
      <c r="I32">
        <v>9.4299999999999995E-2</v>
      </c>
    </row>
    <row r="33" spans="1:9">
      <c r="A33" t="s">
        <v>72</v>
      </c>
      <c r="B33" t="s">
        <v>9</v>
      </c>
      <c r="C33">
        <v>0.81930000000000003</v>
      </c>
      <c r="D33">
        <v>0.92569999999999997</v>
      </c>
      <c r="E33">
        <v>0.82540000000000002</v>
      </c>
      <c r="F33">
        <v>0.87270000000000003</v>
      </c>
      <c r="G33">
        <v>0.88529999999999998</v>
      </c>
      <c r="H33">
        <v>0.95830000000000004</v>
      </c>
      <c r="I33">
        <v>0.1862</v>
      </c>
    </row>
    <row r="34" spans="1:9">
      <c r="A34" t="s">
        <v>62</v>
      </c>
      <c r="B34" t="s">
        <v>11</v>
      </c>
      <c r="C34">
        <v>0.98799999999999999</v>
      </c>
      <c r="D34">
        <v>0.99</v>
      </c>
      <c r="E34">
        <v>0.98599999999999999</v>
      </c>
      <c r="F34">
        <v>0.98799999999999999</v>
      </c>
      <c r="G34">
        <v>0.99839999999999995</v>
      </c>
      <c r="H34">
        <v>0.99850000000000005</v>
      </c>
      <c r="I34">
        <v>0.01</v>
      </c>
    </row>
    <row r="35" spans="1:9">
      <c r="A35" t="s">
        <v>62</v>
      </c>
      <c r="B35" t="s">
        <v>10</v>
      </c>
      <c r="C35">
        <v>0.95740000000000003</v>
      </c>
      <c r="D35">
        <v>0.95609999999999995</v>
      </c>
      <c r="E35">
        <v>0.99870000000000003</v>
      </c>
      <c r="F35">
        <v>0.97699999999999998</v>
      </c>
      <c r="G35">
        <v>0.98450000000000004</v>
      </c>
      <c r="H35">
        <v>0.99809999999999999</v>
      </c>
      <c r="I35">
        <v>5.4600000000000003E-2</v>
      </c>
    </row>
    <row r="36" spans="1:9">
      <c r="A36" t="s">
        <v>62</v>
      </c>
      <c r="B36" t="s">
        <v>12</v>
      </c>
      <c r="C36">
        <v>0.878</v>
      </c>
      <c r="D36">
        <v>0.79559999999999997</v>
      </c>
      <c r="E36">
        <v>0.95150000000000001</v>
      </c>
      <c r="F36">
        <v>0.86660000000000004</v>
      </c>
      <c r="G36">
        <v>0.96819999999999995</v>
      </c>
      <c r="H36">
        <v>0.9607</v>
      </c>
      <c r="I36">
        <v>9.4100000000000003E-2</v>
      </c>
    </row>
    <row r="37" spans="1:9">
      <c r="A37" t="s">
        <v>62</v>
      </c>
      <c r="B37" t="s">
        <v>9</v>
      </c>
      <c r="C37">
        <v>0.8004</v>
      </c>
      <c r="D37">
        <v>0.93149999999999999</v>
      </c>
      <c r="E37">
        <v>0.79210000000000003</v>
      </c>
      <c r="F37">
        <v>0.85650000000000004</v>
      </c>
      <c r="G37">
        <v>0.88629999999999998</v>
      </c>
      <c r="H37">
        <v>0.95820000000000005</v>
      </c>
      <c r="I37">
        <v>0.19489999999999999</v>
      </c>
    </row>
    <row r="38" spans="1:9">
      <c r="A38" t="s">
        <v>73</v>
      </c>
      <c r="B38" t="s">
        <v>11</v>
      </c>
      <c r="C38">
        <v>0.98099999999999998</v>
      </c>
      <c r="D38">
        <v>0.97560000000000002</v>
      </c>
      <c r="E38">
        <v>0.98670000000000002</v>
      </c>
      <c r="F38">
        <v>0.98109999999999997</v>
      </c>
      <c r="G38">
        <v>0.99819999999999998</v>
      </c>
      <c r="H38">
        <v>0.99809999999999999</v>
      </c>
      <c r="I38">
        <v>2.1000000000000001E-2</v>
      </c>
    </row>
    <row r="39" spans="1:9">
      <c r="A39" t="s">
        <v>73</v>
      </c>
      <c r="B39" t="s">
        <v>10</v>
      </c>
      <c r="C39">
        <v>0.96479999999999999</v>
      </c>
      <c r="D39">
        <v>0.96799999999999997</v>
      </c>
      <c r="E39">
        <v>0.99390000000000001</v>
      </c>
      <c r="F39">
        <v>0.98080000000000001</v>
      </c>
      <c r="G39">
        <v>0.98050000000000004</v>
      </c>
      <c r="H39">
        <v>0.99770000000000003</v>
      </c>
      <c r="I39">
        <v>6.8599999999999994E-2</v>
      </c>
    </row>
    <row r="40" spans="1:9">
      <c r="A40" t="s">
        <v>73</v>
      </c>
      <c r="B40" t="s">
        <v>12</v>
      </c>
      <c r="C40">
        <v>0.83030000000000004</v>
      </c>
      <c r="D40">
        <v>0.74539999999999995</v>
      </c>
      <c r="E40">
        <v>0.90010000000000001</v>
      </c>
      <c r="F40">
        <v>0.8155</v>
      </c>
      <c r="G40">
        <v>0.84030000000000005</v>
      </c>
      <c r="H40">
        <v>0.85119999999999996</v>
      </c>
      <c r="I40">
        <v>0.1045</v>
      </c>
    </row>
    <row r="41" spans="1:9">
      <c r="A41" t="s">
        <v>73</v>
      </c>
      <c r="B41" t="s">
        <v>9</v>
      </c>
      <c r="C41">
        <v>0.79120000000000001</v>
      </c>
      <c r="D41">
        <v>0.82410000000000005</v>
      </c>
      <c r="E41">
        <v>0.9173</v>
      </c>
      <c r="F41">
        <v>0.86819999999999997</v>
      </c>
      <c r="G41">
        <v>0.81389999999999996</v>
      </c>
      <c r="H41">
        <v>0.92869999999999997</v>
      </c>
      <c r="I41">
        <v>0.27139999999999997</v>
      </c>
    </row>
    <row r="42" spans="1:9">
      <c r="A42" t="s">
        <v>63</v>
      </c>
      <c r="B42" t="s">
        <v>11</v>
      </c>
      <c r="C42">
        <v>0.99670000000000003</v>
      </c>
      <c r="D42">
        <v>0.99670000000000003</v>
      </c>
      <c r="E42">
        <v>0.99670000000000003</v>
      </c>
      <c r="F42">
        <v>0.99670000000000003</v>
      </c>
      <c r="G42">
        <v>0.99990000000000001</v>
      </c>
      <c r="H42">
        <v>0.99990000000000001</v>
      </c>
      <c r="I42">
        <v>3.3E-3</v>
      </c>
    </row>
    <row r="43" spans="1:9">
      <c r="A43" t="s">
        <v>63</v>
      </c>
      <c r="B43" t="s">
        <v>10</v>
      </c>
      <c r="C43">
        <v>0.99250000000000005</v>
      </c>
      <c r="D43">
        <v>0.99280000000000002</v>
      </c>
      <c r="E43">
        <v>0.99890000000000001</v>
      </c>
      <c r="F43">
        <v>0.99580000000000002</v>
      </c>
      <c r="G43">
        <v>0.99909999999999999</v>
      </c>
      <c r="H43">
        <v>0.99990000000000001</v>
      </c>
      <c r="I43">
        <v>1.3899999999999999E-2</v>
      </c>
    </row>
    <row r="44" spans="1:9">
      <c r="A44" t="s">
        <v>63</v>
      </c>
      <c r="B44" t="s">
        <v>12</v>
      </c>
      <c r="C44">
        <v>0.94989999999999997</v>
      </c>
      <c r="D44">
        <v>0.95489999999999997</v>
      </c>
      <c r="E44">
        <v>0.9234</v>
      </c>
      <c r="F44">
        <v>0.93889999999999996</v>
      </c>
      <c r="G44">
        <v>0.9899</v>
      </c>
      <c r="H44">
        <v>0.98719999999999997</v>
      </c>
      <c r="I44">
        <v>5.2900000000000003E-2</v>
      </c>
    </row>
    <row r="45" spans="1:9">
      <c r="A45" t="s">
        <v>63</v>
      </c>
      <c r="B45" t="s">
        <v>9</v>
      </c>
      <c r="C45">
        <v>0.81179999999999997</v>
      </c>
      <c r="D45">
        <v>0.85760000000000003</v>
      </c>
      <c r="E45">
        <v>0.8982</v>
      </c>
      <c r="F45">
        <v>0.87749999999999995</v>
      </c>
      <c r="G45">
        <v>0.84160000000000001</v>
      </c>
      <c r="H45">
        <v>0.93710000000000004</v>
      </c>
      <c r="I45">
        <v>0.23730000000000001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7365-DF4B-416C-8C70-4A2BD11A90D6}">
  <dimension ref="A1:X47"/>
  <sheetViews>
    <sheetView tabSelected="1" workbookViewId="0">
      <selection activeCell="H18" sqref="H18"/>
    </sheetView>
  </sheetViews>
  <sheetFormatPr defaultRowHeight="14"/>
  <cols>
    <col min="1" max="1" width="16.33203125" bestFit="1" customWidth="1"/>
    <col min="2" max="2" width="13.08203125" bestFit="1" customWidth="1"/>
    <col min="21" max="21" width="28.75" bestFit="1" customWidth="1"/>
    <col min="24" max="24" width="14.33203125" customWidth="1"/>
  </cols>
  <sheetData>
    <row r="1" spans="1:24" ht="14.5" thickBot="1">
      <c r="A1" t="s">
        <v>65</v>
      </c>
      <c r="B1" t="s">
        <v>29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47" t="s">
        <v>74</v>
      </c>
      <c r="K1" s="144" t="s">
        <v>75</v>
      </c>
      <c r="L1" s="144" t="s">
        <v>76</v>
      </c>
      <c r="M1" s="144" t="s">
        <v>77</v>
      </c>
      <c r="N1" s="144" t="s">
        <v>64</v>
      </c>
      <c r="O1" s="147" t="s">
        <v>80</v>
      </c>
      <c r="P1" s="144" t="s">
        <v>81</v>
      </c>
      <c r="Q1" s="144" t="s">
        <v>82</v>
      </c>
      <c r="R1" s="144" t="s">
        <v>83</v>
      </c>
      <c r="S1" s="145" t="s">
        <v>84</v>
      </c>
      <c r="T1" s="150" t="s">
        <v>85</v>
      </c>
      <c r="U1" t="s">
        <v>86</v>
      </c>
    </row>
    <row r="2" spans="1:24" ht="14.5" thickBot="1">
      <c r="A2" s="147" t="s">
        <v>66</v>
      </c>
      <c r="B2" s="144" t="s">
        <v>11</v>
      </c>
      <c r="C2" s="144">
        <v>0.72870000000000001</v>
      </c>
      <c r="D2" s="144">
        <v>0.65629999999999999</v>
      </c>
      <c r="E2" s="144">
        <v>0.96</v>
      </c>
      <c r="F2" s="144">
        <v>0.77959999999999996</v>
      </c>
      <c r="G2" s="144">
        <v>0.8972</v>
      </c>
      <c r="H2" s="144">
        <v>0.89539999999999997</v>
      </c>
      <c r="I2" s="144">
        <v>0.182</v>
      </c>
      <c r="J2" s="147">
        <f>AVERAGE(C2:C5)</f>
        <v>0.78742500000000004</v>
      </c>
      <c r="K2" s="144">
        <f>AVERAGE(F2:F5)</f>
        <v>0.835225</v>
      </c>
      <c r="L2" s="144">
        <f t="shared" ref="L2:N2" si="0">AVERAGE(G2:G5)</f>
        <v>0.77477499999999999</v>
      </c>
      <c r="M2" s="144">
        <f t="shared" si="0"/>
        <v>0.85689999999999988</v>
      </c>
      <c r="N2" s="144">
        <f t="shared" si="0"/>
        <v>0.26790000000000003</v>
      </c>
      <c r="O2" s="154">
        <f>((C2-_xlfn.MINIFS($C$2:$C$45,$B$2:$B$45,B2))/(_xlfn.MAXIFS($C$2:$C$45,$B$2:$B$45,B2)-_xlfn.MINIFS($C$2:$C$45,$B$2:$B$45,B2)))*100</f>
        <v>0</v>
      </c>
      <c r="P2" s="144">
        <f>((F2-_xlfn.MINIFS($F$2:$F$45,$B$2:$B$45,B2))/(_xlfn.MAXIFS($F$2:$F$45,$B$2:$B$45,B2)-_xlfn.MINIFS($F$2:$F$45,$B$2:$B$45,B2)))*100</f>
        <v>0</v>
      </c>
      <c r="Q2" s="144">
        <f>((G2-_xlfn.MINIFS($G$2:$G$45,$B$2:$B$45,B2))/(_xlfn.MAXIFS($G$2:$G$45,$B$2:$B$45,B2)-_xlfn.MINIFS($G$2:$G$45,$B$2:$B$45,B2)))*100</f>
        <v>0</v>
      </c>
      <c r="R2" s="144">
        <f>((H2-_xlfn.MINIFS($H$2:$H$45,$B$2:$B$45,B2))/(_xlfn.MAXIFS($H$2:$H$45,$B$2:$B$45,B2)-_xlfn.MINIFS($H$2:$H$45,$B$2:$B$45,B2)))*100</f>
        <v>0</v>
      </c>
      <c r="S2" s="145">
        <f>((_xlfn.MAXIFS($I$2:$I$45,$B$2:$B$45,B2)-I2)/(_xlfn.MAXIFS($I$2:$I$45,$B$2:$B$45,B2)-_xlfn.MINIFS($I$2:$I$45,$B$2:$B$45,B2)))*100</f>
        <v>0</v>
      </c>
      <c r="T2" s="150">
        <f>AVERAGE(O2:S2)</f>
        <v>0</v>
      </c>
      <c r="U2" s="151">
        <f>AVERAGEIF($A$2:$A$45,A2,$T$2:$T$45)</f>
        <v>12.085015807940154</v>
      </c>
      <c r="V2" s="151">
        <v>5</v>
      </c>
    </row>
    <row r="3" spans="1:24" ht="28.5" thickBot="1">
      <c r="A3" s="148" t="s">
        <v>66</v>
      </c>
      <c r="B3" s="44" t="s">
        <v>10</v>
      </c>
      <c r="C3" s="44">
        <v>0.89780000000000004</v>
      </c>
      <c r="D3" s="44">
        <v>0.92120000000000002</v>
      </c>
      <c r="E3" s="44">
        <v>0.96989999999999998</v>
      </c>
      <c r="F3" s="44">
        <v>0.94499999999999995</v>
      </c>
      <c r="G3" s="44">
        <v>0.79239999999999999</v>
      </c>
      <c r="H3" s="44">
        <v>0.96619999999999995</v>
      </c>
      <c r="I3" s="44">
        <v>0.26840000000000003</v>
      </c>
      <c r="J3" s="148"/>
      <c r="K3" s="44"/>
      <c r="L3" s="44"/>
      <c r="M3" s="44"/>
      <c r="N3" s="44"/>
      <c r="O3" s="154">
        <f t="shared" ref="O3:O45" si="1">((C3-_xlfn.MINIFS($C$2:$C$45,$B$2:$B$45,B3))/(_xlfn.MAXIFS($C$2:$C$45,$B$2:$B$45,B3)-_xlfn.MINIFS($C$2:$C$45,$B$2:$B$45,B3)))*100</f>
        <v>0</v>
      </c>
      <c r="P3" s="144">
        <f t="shared" ref="P3:P45" si="2">((F3-_xlfn.MINIFS($F$2:$F$45,$B$2:$B$45,B3))/(_xlfn.MAXIFS($F$2:$F$45,$B$2:$B$45,B3)-_xlfn.MINIFS($F$2:$F$45,$B$2:$B$45,B3)))*100</f>
        <v>0</v>
      </c>
      <c r="Q3" s="144">
        <f t="shared" ref="Q3:Q45" si="3">((G3-_xlfn.MINIFS($G$2:$G$45,$B$2:$B$45,B3))/(_xlfn.MAXIFS($G$2:$G$45,$B$2:$B$45,B3)-_xlfn.MINIFS($G$2:$G$45,$B$2:$B$45,B3)))*100</f>
        <v>51.784464660601813</v>
      </c>
      <c r="R3" s="144">
        <f t="shared" ref="R3:R45" si="4">((H3-_xlfn.MINIFS($H$2:$H$45,$B$2:$B$45,B3))/(_xlfn.MAXIFS($H$2:$H$45,$B$2:$B$45,B3)-_xlfn.MINIFS($H$2:$H$45,$B$2:$B$45,B3)))*100</f>
        <v>55.890052356020867</v>
      </c>
      <c r="S3" s="145">
        <f t="shared" ref="S3:S45" si="5">((_xlfn.MAXIFS($I$2:$I$45,$B$2:$B$45,B3)-I3)/(_xlfn.MAXIFS($I$2:$I$45,$B$2:$B$45,B3)-_xlfn.MINIFS($I$2:$I$45,$B$2:$B$45,B3)))*100</f>
        <v>41.921497033318118</v>
      </c>
      <c r="T3" s="150">
        <f t="shared" ref="T3:T45" si="6">AVERAGE(O3:S3)</f>
        <v>29.919202809988157</v>
      </c>
      <c r="U3" s="152"/>
      <c r="V3" s="152"/>
      <c r="W3" s="159" t="s">
        <v>89</v>
      </c>
      <c r="X3" s="9" t="s">
        <v>90</v>
      </c>
    </row>
    <row r="4" spans="1:24" ht="14.5" thickBot="1">
      <c r="A4" s="148" t="s">
        <v>66</v>
      </c>
      <c r="B4" s="44" t="s">
        <v>12</v>
      </c>
      <c r="C4" s="44">
        <v>0.77359999999999995</v>
      </c>
      <c r="D4" s="44">
        <v>0.75819999999999999</v>
      </c>
      <c r="E4" s="44">
        <v>0.77359999999999995</v>
      </c>
      <c r="F4" s="44">
        <v>0.75960000000000005</v>
      </c>
      <c r="G4" s="44">
        <v>0.78420000000000001</v>
      </c>
      <c r="H4" s="44">
        <v>0.75819999999999999</v>
      </c>
      <c r="I4" s="44">
        <v>0.21579999999999999</v>
      </c>
      <c r="J4" s="148"/>
      <c r="K4" s="44"/>
      <c r="L4" s="44"/>
      <c r="M4" s="44"/>
      <c r="N4" s="44"/>
      <c r="O4" s="154">
        <f t="shared" si="1"/>
        <v>0</v>
      </c>
      <c r="P4" s="144">
        <f t="shared" si="2"/>
        <v>13.423466924191239</v>
      </c>
      <c r="Q4" s="144">
        <f t="shared" si="3"/>
        <v>0</v>
      </c>
      <c r="R4" s="144">
        <f t="shared" si="4"/>
        <v>0</v>
      </c>
      <c r="S4" s="145">
        <f t="shared" si="5"/>
        <v>0</v>
      </c>
      <c r="T4" s="150">
        <f t="shared" si="6"/>
        <v>2.6846933848382477</v>
      </c>
      <c r="U4" s="152"/>
      <c r="V4" s="152"/>
      <c r="W4" s="10" t="s">
        <v>91</v>
      </c>
      <c r="X4" s="8" t="s">
        <v>92</v>
      </c>
    </row>
    <row r="5" spans="1:24" ht="28.5" thickBot="1">
      <c r="A5" s="149" t="s">
        <v>66</v>
      </c>
      <c r="B5" s="146" t="s">
        <v>9</v>
      </c>
      <c r="C5" s="146">
        <v>0.74960000000000004</v>
      </c>
      <c r="D5" s="146">
        <v>0.75029999999999997</v>
      </c>
      <c r="E5" s="146">
        <v>0.99839999999999995</v>
      </c>
      <c r="F5" s="146">
        <v>0.85670000000000002</v>
      </c>
      <c r="G5" s="146">
        <v>0.62529999999999997</v>
      </c>
      <c r="H5" s="146">
        <v>0.80779999999999996</v>
      </c>
      <c r="I5" s="146">
        <v>0.40539999999999998</v>
      </c>
      <c r="J5" s="149"/>
      <c r="K5" s="146"/>
      <c r="L5" s="146"/>
      <c r="M5" s="146"/>
      <c r="N5" s="146"/>
      <c r="O5" s="154">
        <f t="shared" si="1"/>
        <v>16.225961538461608</v>
      </c>
      <c r="P5" s="144">
        <f t="shared" si="2"/>
        <v>62.454873646209442</v>
      </c>
      <c r="Q5" s="144">
        <f t="shared" si="3"/>
        <v>0</v>
      </c>
      <c r="R5" s="144">
        <f t="shared" si="4"/>
        <v>0</v>
      </c>
      <c r="S5" s="145">
        <f t="shared" si="5"/>
        <v>0</v>
      </c>
      <c r="T5" s="150">
        <f>AVERAGE(O5:S5)</f>
        <v>15.73616703693421</v>
      </c>
      <c r="U5" s="153"/>
      <c r="V5" s="153"/>
      <c r="W5" s="10" t="s">
        <v>93</v>
      </c>
      <c r="X5" s="8" t="s">
        <v>94</v>
      </c>
    </row>
    <row r="6" spans="1:24" ht="28.5" thickBot="1">
      <c r="A6" s="147" t="s">
        <v>59</v>
      </c>
      <c r="B6" s="144" t="s">
        <v>11</v>
      </c>
      <c r="C6" s="144">
        <v>0.97199999999999998</v>
      </c>
      <c r="D6" s="144">
        <v>0.96699999999999997</v>
      </c>
      <c r="E6" s="144">
        <v>0.97729999999999995</v>
      </c>
      <c r="F6" s="144">
        <v>0.97209999999999996</v>
      </c>
      <c r="G6" s="144">
        <v>0.99509999999999998</v>
      </c>
      <c r="H6" s="144">
        <v>0.99570000000000003</v>
      </c>
      <c r="I6" s="144">
        <v>2.8299999999999999E-2</v>
      </c>
      <c r="J6" s="147">
        <f>AVERAGE(C6:C9)</f>
        <v>0.89260000000000006</v>
      </c>
      <c r="K6" s="144">
        <f>AVERAGE(F6:F9)</f>
        <v>0.912775</v>
      </c>
      <c r="L6" s="144">
        <f t="shared" ref="L6:N6" si="7">AVERAGE(G6:G9)</f>
        <v>0.93510000000000004</v>
      </c>
      <c r="M6" s="144">
        <f t="shared" si="7"/>
        <v>0.97637499999999999</v>
      </c>
      <c r="N6" s="144">
        <f t="shared" si="7"/>
        <v>0.123</v>
      </c>
      <c r="O6" s="154">
        <f t="shared" si="1"/>
        <v>90.783582089552212</v>
      </c>
      <c r="P6" s="144">
        <f t="shared" si="2"/>
        <v>88.668816213726359</v>
      </c>
      <c r="Q6" s="144">
        <f t="shared" si="3"/>
        <v>95.326192794547211</v>
      </c>
      <c r="R6" s="144">
        <f t="shared" si="4"/>
        <v>95.980861244019152</v>
      </c>
      <c r="S6" s="145">
        <f t="shared" si="5"/>
        <v>86.010072747621706</v>
      </c>
      <c r="T6" s="150">
        <f t="shared" si="6"/>
        <v>91.353905017893339</v>
      </c>
      <c r="U6" s="151">
        <f t="shared" ref="U3:U45" si="8">AVERAGEIF($A$2:$A$45,A6,$T$2:$T$45)</f>
        <v>77.152275525524828</v>
      </c>
      <c r="V6" s="151">
        <v>2</v>
      </c>
      <c r="W6" s="10" t="s">
        <v>95</v>
      </c>
      <c r="X6" s="8" t="s">
        <v>96</v>
      </c>
    </row>
    <row r="7" spans="1:24" ht="28.5" thickBot="1">
      <c r="A7" s="148" t="s">
        <v>59</v>
      </c>
      <c r="B7" s="44" t="s">
        <v>10</v>
      </c>
      <c r="C7" s="44">
        <v>0.93459999999999999</v>
      </c>
      <c r="D7" s="44">
        <v>0.94879999999999998</v>
      </c>
      <c r="E7" s="44">
        <v>0.98050000000000004</v>
      </c>
      <c r="F7" s="44">
        <v>0.96440000000000003</v>
      </c>
      <c r="G7" s="44">
        <v>0.90349999999999997</v>
      </c>
      <c r="H7" s="44">
        <v>0.9859</v>
      </c>
      <c r="I7" s="44">
        <v>0.1739</v>
      </c>
      <c r="J7" s="148"/>
      <c r="K7" s="44"/>
      <c r="L7" s="44"/>
      <c r="M7" s="44"/>
      <c r="N7" s="44"/>
      <c r="O7" s="154">
        <f t="shared" si="1"/>
        <v>38.85955649419212</v>
      </c>
      <c r="P7" s="144">
        <f t="shared" si="2"/>
        <v>38.188976377952869</v>
      </c>
      <c r="Q7" s="144">
        <f t="shared" si="3"/>
        <v>77.700023326335426</v>
      </c>
      <c r="R7" s="144">
        <f t="shared" si="4"/>
        <v>81.675392670157052</v>
      </c>
      <c r="S7" s="145">
        <f t="shared" si="5"/>
        <v>63.486992240985849</v>
      </c>
      <c r="T7" s="150">
        <f t="shared" si="6"/>
        <v>59.982188221924659</v>
      </c>
      <c r="U7" s="152"/>
      <c r="V7" s="152"/>
      <c r="W7" s="10" t="s">
        <v>97</v>
      </c>
      <c r="X7" s="8" t="s">
        <v>98</v>
      </c>
    </row>
    <row r="8" spans="1:24" ht="28.5" thickBot="1">
      <c r="A8" s="148" t="s">
        <v>59</v>
      </c>
      <c r="B8" s="44" t="s">
        <v>12</v>
      </c>
      <c r="C8" s="44">
        <v>0.87150000000000005</v>
      </c>
      <c r="D8" s="44">
        <v>0.77569999999999995</v>
      </c>
      <c r="E8" s="44">
        <v>0.9728</v>
      </c>
      <c r="F8" s="44">
        <v>0.86319999999999997</v>
      </c>
      <c r="G8" s="44">
        <v>0.97819999999999996</v>
      </c>
      <c r="H8" s="44">
        <v>0.9728</v>
      </c>
      <c r="I8" s="44">
        <v>8.1199999999999994E-2</v>
      </c>
      <c r="J8" s="148"/>
      <c r="K8" s="44"/>
      <c r="L8" s="44"/>
      <c r="M8" s="44"/>
      <c r="N8" s="44"/>
      <c r="O8" s="154">
        <f t="shared" si="1"/>
        <v>55.530346001134475</v>
      </c>
      <c r="P8" s="144">
        <f t="shared" si="2"/>
        <v>63.44760985031386</v>
      </c>
      <c r="Q8" s="144">
        <f t="shared" si="3"/>
        <v>94.312105007292146</v>
      </c>
      <c r="R8" s="144">
        <f t="shared" si="4"/>
        <v>93.711790393013118</v>
      </c>
      <c r="S8" s="145">
        <f t="shared" si="5"/>
        <v>82.627378759975443</v>
      </c>
      <c r="T8" s="150">
        <f t="shared" si="6"/>
        <v>77.925846002345821</v>
      </c>
      <c r="U8" s="152"/>
      <c r="V8" s="152"/>
      <c r="W8" s="10" t="s">
        <v>99</v>
      </c>
      <c r="X8" s="8" t="s">
        <v>100</v>
      </c>
    </row>
    <row r="9" spans="1:24" ht="14.5" thickBot="1">
      <c r="A9" s="149" t="s">
        <v>59</v>
      </c>
      <c r="B9" s="146" t="s">
        <v>9</v>
      </c>
      <c r="C9" s="146">
        <v>0.7923</v>
      </c>
      <c r="D9" s="146">
        <v>0.91869999999999996</v>
      </c>
      <c r="E9" s="146">
        <v>0.79330000000000001</v>
      </c>
      <c r="F9" s="146">
        <v>0.85140000000000005</v>
      </c>
      <c r="G9" s="146">
        <v>0.86360000000000003</v>
      </c>
      <c r="H9" s="146">
        <v>0.95109999999999995</v>
      </c>
      <c r="I9" s="146">
        <v>0.20860000000000001</v>
      </c>
      <c r="J9" s="149"/>
      <c r="K9" s="146"/>
      <c r="L9" s="146"/>
      <c r="M9" s="146"/>
      <c r="N9" s="146"/>
      <c r="O9" s="154">
        <f t="shared" si="1"/>
        <v>67.54807692307692</v>
      </c>
      <c r="P9" s="144">
        <f t="shared" si="2"/>
        <v>52.888086642599362</v>
      </c>
      <c r="Q9" s="144">
        <f t="shared" si="3"/>
        <v>91.302681992337185</v>
      </c>
      <c r="R9" s="144">
        <f t="shared" si="4"/>
        <v>95.215946843853757</v>
      </c>
      <c r="S9" s="145">
        <f t="shared" si="5"/>
        <v>89.78102189781022</v>
      </c>
      <c r="T9" s="150">
        <f t="shared" si="6"/>
        <v>79.34716285993548</v>
      </c>
      <c r="U9" s="153"/>
      <c r="V9" s="153"/>
    </row>
    <row r="10" spans="1:24" ht="14.5" thickBot="1">
      <c r="A10" s="147" t="s">
        <v>67</v>
      </c>
      <c r="B10" s="144" t="s">
        <v>11</v>
      </c>
      <c r="C10" s="144">
        <v>0.93969999999999998</v>
      </c>
      <c r="D10" s="144">
        <v>0.91239999999999999</v>
      </c>
      <c r="E10" s="144">
        <v>0.97270000000000001</v>
      </c>
      <c r="F10" s="144">
        <v>0.94159999999999999</v>
      </c>
      <c r="G10" s="144">
        <v>0.98780000000000001</v>
      </c>
      <c r="H10" s="144">
        <v>0.98839999999999995</v>
      </c>
      <c r="I10" s="144">
        <v>4.8300000000000003E-2</v>
      </c>
      <c r="J10" s="147">
        <f>AVERAGE(C10:C13)</f>
        <v>0.86265000000000003</v>
      </c>
      <c r="K10" s="144">
        <f>AVERAGE(F10:F13)</f>
        <v>0.88854999999999995</v>
      </c>
      <c r="L10" s="144">
        <f>AVERAGE(G10:G13)</f>
        <v>0.80962500000000004</v>
      </c>
      <c r="M10" s="144">
        <f>AVERAGE(H10:H13)</f>
        <v>0.93007499999999999</v>
      </c>
      <c r="N10" s="144">
        <f>AVERAGE(I10:I13)</f>
        <v>0.23822499999999999</v>
      </c>
      <c r="O10" s="154">
        <f t="shared" si="1"/>
        <v>78.731343283582063</v>
      </c>
      <c r="P10" s="144">
        <f t="shared" si="2"/>
        <v>74.619990787655453</v>
      </c>
      <c r="Q10" s="144">
        <f t="shared" si="3"/>
        <v>88.218111002921134</v>
      </c>
      <c r="R10" s="144">
        <f t="shared" si="4"/>
        <v>88.995215311004728</v>
      </c>
      <c r="S10" s="145">
        <f t="shared" si="5"/>
        <v>74.818130945719076</v>
      </c>
      <c r="T10" s="150">
        <f t="shared" si="6"/>
        <v>81.076558266176491</v>
      </c>
      <c r="U10" s="151">
        <f t="shared" si="8"/>
        <v>43.07186741085156</v>
      </c>
      <c r="V10" s="151">
        <v>4</v>
      </c>
    </row>
    <row r="11" spans="1:24" ht="14.5" thickBot="1">
      <c r="A11" s="148" t="s">
        <v>67</v>
      </c>
      <c r="B11" s="44" t="s">
        <v>10</v>
      </c>
      <c r="C11" s="44">
        <v>0.90369999999999995</v>
      </c>
      <c r="D11" s="44">
        <v>0.9042</v>
      </c>
      <c r="E11" s="44">
        <v>0.99939999999999996</v>
      </c>
      <c r="F11" s="44">
        <v>0.94940000000000002</v>
      </c>
      <c r="G11" s="44">
        <v>0.57040000000000002</v>
      </c>
      <c r="H11" s="44">
        <v>0.92349999999999999</v>
      </c>
      <c r="I11" s="44">
        <v>0.4521</v>
      </c>
      <c r="J11" s="148"/>
      <c r="K11" s="44"/>
      <c r="L11" s="44"/>
      <c r="M11" s="44"/>
      <c r="N11" s="44"/>
      <c r="O11" s="154">
        <f t="shared" si="1"/>
        <v>6.2302006335796252</v>
      </c>
      <c r="P11" s="144">
        <f t="shared" si="2"/>
        <v>8.6614173228347724</v>
      </c>
      <c r="Q11" s="144">
        <f t="shared" si="3"/>
        <v>0</v>
      </c>
      <c r="R11" s="144">
        <f t="shared" si="4"/>
        <v>0</v>
      </c>
      <c r="S11" s="145">
        <f t="shared" si="5"/>
        <v>0</v>
      </c>
      <c r="T11" s="150">
        <f t="shared" si="6"/>
        <v>2.9783235912828792</v>
      </c>
      <c r="U11" s="152"/>
      <c r="V11" s="152"/>
    </row>
    <row r="12" spans="1:24" ht="14.5" thickBot="1">
      <c r="A12" s="148" t="s">
        <v>67</v>
      </c>
      <c r="B12" s="44" t="s">
        <v>12</v>
      </c>
      <c r="C12" s="44">
        <v>0.87109999999999999</v>
      </c>
      <c r="D12" s="44">
        <v>0.86480000000000001</v>
      </c>
      <c r="E12" s="44">
        <v>0.81859999999999999</v>
      </c>
      <c r="F12" s="44">
        <v>0.84109999999999996</v>
      </c>
      <c r="G12" s="44">
        <v>0.94330000000000003</v>
      </c>
      <c r="H12" s="44">
        <v>0.92710000000000004</v>
      </c>
      <c r="I12" s="44">
        <v>0.13089999999999999</v>
      </c>
      <c r="J12" s="148"/>
      <c r="K12" s="44"/>
      <c r="L12" s="44"/>
      <c r="M12" s="44"/>
      <c r="N12" s="44"/>
      <c r="O12" s="154">
        <f t="shared" si="1"/>
        <v>55.30346001134432</v>
      </c>
      <c r="P12" s="144">
        <f t="shared" si="2"/>
        <v>52.776436504104282</v>
      </c>
      <c r="Q12" s="144">
        <f t="shared" si="3"/>
        <v>77.345649003403025</v>
      </c>
      <c r="R12" s="144">
        <f t="shared" si="4"/>
        <v>73.755458515283863</v>
      </c>
      <c r="S12" s="145">
        <f t="shared" si="5"/>
        <v>52.117863720073665</v>
      </c>
      <c r="T12" s="150">
        <f t="shared" si="6"/>
        <v>62.259773550841842</v>
      </c>
      <c r="U12" s="152"/>
      <c r="V12" s="152"/>
    </row>
    <row r="13" spans="1:24" ht="14.5" thickBot="1">
      <c r="A13" s="149" t="s">
        <v>78</v>
      </c>
      <c r="B13" s="146" t="s">
        <v>9</v>
      </c>
      <c r="C13" s="146">
        <v>0.73609999999999998</v>
      </c>
      <c r="D13" s="146">
        <v>0.83130000000000004</v>
      </c>
      <c r="E13" s="146">
        <v>0.81320000000000003</v>
      </c>
      <c r="F13" s="146">
        <v>0.82210000000000005</v>
      </c>
      <c r="G13" s="146">
        <v>0.73699999999999999</v>
      </c>
      <c r="H13" s="146">
        <v>0.88129999999999997</v>
      </c>
      <c r="I13" s="146">
        <v>0.3216</v>
      </c>
      <c r="J13" s="149"/>
      <c r="K13" s="146"/>
      <c r="L13" s="146"/>
      <c r="M13" s="146"/>
      <c r="N13" s="146"/>
      <c r="O13" s="154">
        <f t="shared" si="1"/>
        <v>0</v>
      </c>
      <c r="P13" s="144">
        <f t="shared" si="2"/>
        <v>0</v>
      </c>
      <c r="Q13" s="144">
        <f t="shared" si="3"/>
        <v>42.79693486590039</v>
      </c>
      <c r="R13" s="144">
        <f t="shared" si="4"/>
        <v>48.837209302325562</v>
      </c>
      <c r="S13" s="145">
        <f t="shared" si="5"/>
        <v>38.229927007299267</v>
      </c>
      <c r="T13" s="150">
        <f t="shared" si="6"/>
        <v>25.972814235105044</v>
      </c>
      <c r="U13" s="153"/>
      <c r="V13" s="153"/>
    </row>
    <row r="14" spans="1:24" ht="14.5" thickBot="1">
      <c r="A14" s="147" t="s">
        <v>68</v>
      </c>
      <c r="B14" s="144" t="s">
        <v>11</v>
      </c>
      <c r="C14" s="144">
        <v>0.93899999999999995</v>
      </c>
      <c r="D14" s="144">
        <v>0.90180000000000005</v>
      </c>
      <c r="E14" s="144">
        <v>0.98529999999999995</v>
      </c>
      <c r="F14" s="144">
        <v>0.94169999999999998</v>
      </c>
      <c r="G14" s="144">
        <v>0.99270000000000003</v>
      </c>
      <c r="H14" s="144">
        <v>0.99309999999999998</v>
      </c>
      <c r="I14" s="144">
        <v>4.2000000000000003E-2</v>
      </c>
      <c r="J14" s="147">
        <f>AVERAGE(C14:C17)</f>
        <v>0.85767499999999997</v>
      </c>
      <c r="K14" s="144">
        <f>AVERAGE(F14:F17)</f>
        <v>0.87095</v>
      </c>
      <c r="L14" s="144">
        <f>AVERAGE(G14:G17)</f>
        <v>0.87357499999999999</v>
      </c>
      <c r="M14" s="144">
        <f>AVERAGE(H14:H17)</f>
        <v>0.9084000000000001</v>
      </c>
      <c r="N14" s="144">
        <f>AVERAGE(I14:I17)</f>
        <v>0.175375</v>
      </c>
      <c r="O14" s="154">
        <f t="shared" si="1"/>
        <v>78.470149253731307</v>
      </c>
      <c r="P14" s="144">
        <f t="shared" si="2"/>
        <v>74.666052510363883</v>
      </c>
      <c r="Q14" s="144">
        <f t="shared" si="3"/>
        <v>92.989289191820859</v>
      </c>
      <c r="R14" s="144">
        <f t="shared" si="4"/>
        <v>93.492822966507148</v>
      </c>
      <c r="S14" s="145">
        <f t="shared" si="5"/>
        <v>78.343592613318407</v>
      </c>
      <c r="T14" s="150">
        <f t="shared" si="6"/>
        <v>83.592381307148315</v>
      </c>
      <c r="U14" s="151">
        <f t="shared" si="8"/>
        <v>49.47252830777721</v>
      </c>
      <c r="V14" s="151">
        <v>4</v>
      </c>
    </row>
    <row r="15" spans="1:24" ht="14.5" thickBot="1">
      <c r="A15" s="148" t="s">
        <v>68</v>
      </c>
      <c r="B15" s="44" t="s">
        <v>10</v>
      </c>
      <c r="C15" s="44">
        <v>0.94630000000000003</v>
      </c>
      <c r="D15" s="44">
        <v>0.96109999999999995</v>
      </c>
      <c r="E15" s="44">
        <v>0.98029999999999995</v>
      </c>
      <c r="F15" s="44">
        <v>0.97060000000000002</v>
      </c>
      <c r="G15" s="44">
        <v>0.94840000000000002</v>
      </c>
      <c r="H15" s="44">
        <v>0.99370000000000003</v>
      </c>
      <c r="I15" s="44">
        <v>0.12909999999999999</v>
      </c>
      <c r="J15" s="148"/>
      <c r="K15" s="44"/>
      <c r="L15" s="44"/>
      <c r="M15" s="44"/>
      <c r="N15" s="44"/>
      <c r="O15" s="154">
        <f t="shared" si="1"/>
        <v>51.214361140443486</v>
      </c>
      <c r="P15" s="144">
        <f t="shared" si="2"/>
        <v>50.393700787401642</v>
      </c>
      <c r="Q15" s="144">
        <f t="shared" si="3"/>
        <v>88.173547935619325</v>
      </c>
      <c r="R15" s="144">
        <f t="shared" si="4"/>
        <v>91.884816753926728</v>
      </c>
      <c r="S15" s="145">
        <f t="shared" si="5"/>
        <v>73.710634413509823</v>
      </c>
      <c r="T15" s="150">
        <f t="shared" si="6"/>
        <v>71.075412206180189</v>
      </c>
      <c r="U15" s="152"/>
      <c r="V15" s="152"/>
    </row>
    <row r="16" spans="1:24" ht="14.5" thickBot="1">
      <c r="A16" s="148" t="s">
        <v>68</v>
      </c>
      <c r="B16" s="44" t="s">
        <v>12</v>
      </c>
      <c r="C16" s="44">
        <v>0.78590000000000004</v>
      </c>
      <c r="D16" s="44">
        <v>0.7651</v>
      </c>
      <c r="E16" s="44">
        <v>0.70130000000000003</v>
      </c>
      <c r="F16" s="44">
        <v>0.73180000000000001</v>
      </c>
      <c r="G16" s="44">
        <v>0.87370000000000003</v>
      </c>
      <c r="H16" s="44">
        <v>0.80689999999999995</v>
      </c>
      <c r="I16" s="44">
        <v>0.20979999999999999</v>
      </c>
      <c r="J16" s="148"/>
      <c r="K16" s="44"/>
      <c r="L16" s="44"/>
      <c r="M16" s="44"/>
      <c r="N16" s="44"/>
      <c r="O16" s="154">
        <f t="shared" si="1"/>
        <v>6.9767441860465613</v>
      </c>
      <c r="P16" s="144">
        <f t="shared" si="2"/>
        <v>0</v>
      </c>
      <c r="Q16" s="144">
        <f t="shared" si="3"/>
        <v>43.509965969859032</v>
      </c>
      <c r="R16" s="144">
        <f t="shared" si="4"/>
        <v>21.266375545851517</v>
      </c>
      <c r="S16" s="145">
        <f t="shared" si="5"/>
        <v>3.6832412523020297</v>
      </c>
      <c r="T16" s="150">
        <f t="shared" si="6"/>
        <v>15.087265390811826</v>
      </c>
      <c r="U16" s="152"/>
      <c r="V16" s="152"/>
    </row>
    <row r="17" spans="1:22" ht="14.5" thickBot="1">
      <c r="A17" s="149" t="s">
        <v>68</v>
      </c>
      <c r="B17" s="146" t="s">
        <v>9</v>
      </c>
      <c r="C17" s="146">
        <v>0.75949999999999995</v>
      </c>
      <c r="D17" s="146">
        <v>0.83979999999999999</v>
      </c>
      <c r="E17" s="146">
        <v>0.83979999999999999</v>
      </c>
      <c r="F17" s="146">
        <v>0.8397</v>
      </c>
      <c r="G17" s="146">
        <v>0.67949999999999999</v>
      </c>
      <c r="H17" s="146">
        <v>0.83989999999999998</v>
      </c>
      <c r="I17" s="146">
        <v>0.3206</v>
      </c>
      <c r="J17" s="149"/>
      <c r="K17" s="146"/>
      <c r="L17" s="146"/>
      <c r="M17" s="146"/>
      <c r="N17" s="146"/>
      <c r="O17" s="154">
        <f t="shared" si="1"/>
        <v>28.124999999999957</v>
      </c>
      <c r="P17" s="144">
        <f t="shared" si="2"/>
        <v>31.768953068592026</v>
      </c>
      <c r="Q17" s="144">
        <f t="shared" si="3"/>
        <v>20.766283524904225</v>
      </c>
      <c r="R17" s="144">
        <f t="shared" si="4"/>
        <v>21.32890365448505</v>
      </c>
      <c r="S17" s="145">
        <f t="shared" si="5"/>
        <v>38.686131386861312</v>
      </c>
      <c r="T17" s="150">
        <f t="shared" si="6"/>
        <v>28.135054326968515</v>
      </c>
      <c r="U17" s="153"/>
      <c r="V17" s="153"/>
    </row>
    <row r="18" spans="1:22" ht="14.5" thickBot="1">
      <c r="A18" s="147" t="s">
        <v>69</v>
      </c>
      <c r="B18" s="144" t="s">
        <v>11</v>
      </c>
      <c r="C18" s="144">
        <v>0.95099999999999996</v>
      </c>
      <c r="D18" s="144">
        <v>0.98009999999999997</v>
      </c>
      <c r="E18" s="144">
        <v>0.92069999999999996</v>
      </c>
      <c r="F18" s="144">
        <v>0.94950000000000001</v>
      </c>
      <c r="G18" s="144">
        <v>0.99209999999999998</v>
      </c>
      <c r="H18" s="144">
        <v>0.99329999999999996</v>
      </c>
      <c r="I18" s="144">
        <v>3.9300000000000002E-2</v>
      </c>
      <c r="J18" s="147">
        <f>AVERAGE(C18:C21)</f>
        <v>0.87132499999999991</v>
      </c>
      <c r="K18" s="144">
        <f>AVERAGE(F18:F21)</f>
        <v>0.89712499999999995</v>
      </c>
      <c r="L18" s="144">
        <f>AVERAGE(G18:G21)</f>
        <v>0.83997499999999992</v>
      </c>
      <c r="M18" s="144">
        <f>AVERAGE(H18:H21)</f>
        <v>0.9486</v>
      </c>
      <c r="N18" s="144">
        <f>AVERAGE(I18:I21)</f>
        <v>0.20952500000000002</v>
      </c>
      <c r="O18" s="154">
        <f t="shared" si="1"/>
        <v>82.947761194029823</v>
      </c>
      <c r="P18" s="144">
        <f t="shared" si="2"/>
        <v>78.258866881621373</v>
      </c>
      <c r="Q18" s="144">
        <f t="shared" si="3"/>
        <v>92.405063291139214</v>
      </c>
      <c r="R18" s="144">
        <f t="shared" si="4"/>
        <v>93.684210526315752</v>
      </c>
      <c r="S18" s="145">
        <f t="shared" si="5"/>
        <v>79.854504756575267</v>
      </c>
      <c r="T18" s="150">
        <f t="shared" si="6"/>
        <v>85.430081329936272</v>
      </c>
      <c r="U18" s="151">
        <f t="shared" si="8"/>
        <v>56.089348028246789</v>
      </c>
      <c r="V18" s="151">
        <v>3</v>
      </c>
    </row>
    <row r="19" spans="1:22" ht="14.5" thickBot="1">
      <c r="A19" s="148" t="s">
        <v>69</v>
      </c>
      <c r="B19" s="44" t="s">
        <v>10</v>
      </c>
      <c r="C19" s="44">
        <v>0.90369999999999995</v>
      </c>
      <c r="D19" s="44">
        <v>0.9042</v>
      </c>
      <c r="E19" s="44">
        <v>0.99939999999999996</v>
      </c>
      <c r="F19" s="44">
        <v>0.94940000000000002</v>
      </c>
      <c r="G19" s="44">
        <v>0.5706</v>
      </c>
      <c r="H19" s="44">
        <v>0.92349999999999999</v>
      </c>
      <c r="I19" s="44">
        <v>0.4521</v>
      </c>
      <c r="J19" s="148"/>
      <c r="K19" s="44"/>
      <c r="L19" s="44"/>
      <c r="M19" s="44"/>
      <c r="N19" s="44"/>
      <c r="O19" s="154">
        <f t="shared" si="1"/>
        <v>6.2302006335796252</v>
      </c>
      <c r="P19" s="144">
        <f t="shared" si="2"/>
        <v>8.6614173228347724</v>
      </c>
      <c r="Q19" s="144">
        <f t="shared" si="3"/>
        <v>4.665267086540191E-2</v>
      </c>
      <c r="R19" s="144">
        <f t="shared" si="4"/>
        <v>0</v>
      </c>
      <c r="S19" s="145">
        <f t="shared" si="5"/>
        <v>0</v>
      </c>
      <c r="T19" s="150">
        <f t="shared" si="6"/>
        <v>2.9876541254559599</v>
      </c>
      <c r="U19" s="152"/>
      <c r="V19" s="152"/>
    </row>
    <row r="20" spans="1:22" ht="14.5" thickBot="1">
      <c r="A20" s="148" t="s">
        <v>69</v>
      </c>
      <c r="B20" s="44" t="s">
        <v>12</v>
      </c>
      <c r="C20" s="44">
        <v>0.84279999999999999</v>
      </c>
      <c r="D20" s="44">
        <v>0.73780000000000001</v>
      </c>
      <c r="E20" s="44">
        <v>0.96609999999999996</v>
      </c>
      <c r="F20" s="44">
        <v>0.83660000000000001</v>
      </c>
      <c r="G20" s="44">
        <v>0.96209999999999996</v>
      </c>
      <c r="H20" s="44">
        <v>0.9516</v>
      </c>
      <c r="I20" s="44">
        <v>0.109</v>
      </c>
      <c r="J20" s="148"/>
      <c r="K20" s="44"/>
      <c r="L20" s="44"/>
      <c r="M20" s="44"/>
      <c r="N20" s="44"/>
      <c r="O20" s="154">
        <f t="shared" si="1"/>
        <v>39.251276233692586</v>
      </c>
      <c r="P20" s="144">
        <f t="shared" si="2"/>
        <v>50.603573153066165</v>
      </c>
      <c r="Q20" s="144">
        <f t="shared" si="3"/>
        <v>86.485172581429254</v>
      </c>
      <c r="R20" s="144">
        <f t="shared" si="4"/>
        <v>84.454148471615724</v>
      </c>
      <c r="S20" s="145">
        <f t="shared" si="5"/>
        <v>65.561694290976064</v>
      </c>
      <c r="T20" s="150">
        <f t="shared" si="6"/>
        <v>65.271172946155957</v>
      </c>
      <c r="U20" s="152"/>
      <c r="V20" s="152"/>
    </row>
    <row r="21" spans="1:22" ht="14.5" thickBot="1">
      <c r="A21" s="149" t="s">
        <v>69</v>
      </c>
      <c r="B21" s="146" t="s">
        <v>9</v>
      </c>
      <c r="C21" s="146">
        <v>0.78779999999999994</v>
      </c>
      <c r="D21" s="146">
        <v>0.8881</v>
      </c>
      <c r="E21" s="146">
        <v>0.82040000000000002</v>
      </c>
      <c r="F21" s="146">
        <v>0.85299999999999998</v>
      </c>
      <c r="G21" s="146">
        <v>0.83509999999999995</v>
      </c>
      <c r="H21" s="146">
        <v>0.92600000000000005</v>
      </c>
      <c r="I21" s="146">
        <v>0.23769999999999999</v>
      </c>
      <c r="J21" s="149"/>
      <c r="K21" s="146"/>
      <c r="L21" s="146"/>
      <c r="M21" s="146"/>
      <c r="N21" s="146"/>
      <c r="O21" s="154">
        <f t="shared" si="1"/>
        <v>62.139423076922995</v>
      </c>
      <c r="P21" s="144">
        <f t="shared" si="2"/>
        <v>55.776173285198524</v>
      </c>
      <c r="Q21" s="144">
        <f t="shared" si="3"/>
        <v>80.383141762452098</v>
      </c>
      <c r="R21" s="144">
        <f t="shared" si="4"/>
        <v>78.538205980066451</v>
      </c>
      <c r="S21" s="145">
        <f t="shared" si="5"/>
        <v>76.505474452554751</v>
      </c>
      <c r="T21" s="150">
        <f t="shared" si="6"/>
        <v>70.668483711438967</v>
      </c>
      <c r="U21" s="153"/>
      <c r="V21" s="153"/>
    </row>
    <row r="22" spans="1:22" ht="14.5" thickBot="1">
      <c r="A22" s="147" t="s">
        <v>70</v>
      </c>
      <c r="B22" s="144" t="s">
        <v>11</v>
      </c>
      <c r="C22" s="144">
        <v>0.98270000000000002</v>
      </c>
      <c r="D22" s="144">
        <v>0.98460000000000003</v>
      </c>
      <c r="E22" s="144">
        <v>0.98070000000000002</v>
      </c>
      <c r="F22" s="144">
        <v>0.98260000000000003</v>
      </c>
      <c r="G22" s="144">
        <v>0.99860000000000004</v>
      </c>
      <c r="H22" s="144">
        <v>0.99870000000000003</v>
      </c>
      <c r="I22" s="144">
        <v>1.77E-2</v>
      </c>
      <c r="J22" s="147">
        <f>AVERAGE(C22:C25)</f>
        <v>0.90610000000000002</v>
      </c>
      <c r="K22" s="144">
        <f>AVERAGE(F22:F25)</f>
        <v>0.92302499999999998</v>
      </c>
      <c r="L22" s="144">
        <f>AVERAGE(G22:G25)</f>
        <v>0.91232500000000005</v>
      </c>
      <c r="M22" s="144">
        <f>AVERAGE(H22:H25)</f>
        <v>0.95310000000000006</v>
      </c>
      <c r="N22" s="144">
        <f>AVERAGE(I22:I25)</f>
        <v>0.11182500000000001</v>
      </c>
      <c r="O22" s="154">
        <f t="shared" si="1"/>
        <v>94.776119402985074</v>
      </c>
      <c r="P22" s="144">
        <f t="shared" si="2"/>
        <v>93.50529709811147</v>
      </c>
      <c r="Q22" s="144">
        <f t="shared" si="3"/>
        <v>98.734177215189902</v>
      </c>
      <c r="R22" s="144">
        <f t="shared" si="4"/>
        <v>98.85167464114835</v>
      </c>
      <c r="S22" s="145">
        <f t="shared" si="5"/>
        <v>91.941801902630104</v>
      </c>
      <c r="T22" s="150">
        <f t="shared" si="6"/>
        <v>95.561814052012977</v>
      </c>
      <c r="U22" s="151">
        <f t="shared" si="8"/>
        <v>77.715762951843189</v>
      </c>
      <c r="V22" s="151">
        <v>2</v>
      </c>
    </row>
    <row r="23" spans="1:22" ht="14.5" thickBot="1">
      <c r="A23" s="148" t="s">
        <v>70</v>
      </c>
      <c r="B23" s="44" t="s">
        <v>10</v>
      </c>
      <c r="C23" s="44">
        <v>0.94879999999999998</v>
      </c>
      <c r="D23" s="44">
        <v>0.95430000000000004</v>
      </c>
      <c r="E23" s="44">
        <v>0.9909</v>
      </c>
      <c r="F23" s="44">
        <v>0.97219999999999995</v>
      </c>
      <c r="G23" s="44">
        <v>0.95020000000000004</v>
      </c>
      <c r="H23" s="44">
        <v>0.99380000000000002</v>
      </c>
      <c r="I23" s="44">
        <v>0.12039999999999999</v>
      </c>
      <c r="J23" s="148"/>
      <c r="K23" s="44"/>
      <c r="L23" s="44"/>
      <c r="M23" s="44"/>
      <c r="N23" s="44"/>
      <c r="O23" s="154">
        <f t="shared" si="1"/>
        <v>53.854276663146706</v>
      </c>
      <c r="P23" s="144">
        <f t="shared" si="2"/>
        <v>53.543307086614114</v>
      </c>
      <c r="Q23" s="144">
        <f t="shared" si="3"/>
        <v>88.593421973407999</v>
      </c>
      <c r="R23" s="144">
        <f t="shared" si="4"/>
        <v>92.015706806282736</v>
      </c>
      <c r="S23" s="145">
        <f t="shared" si="5"/>
        <v>75.696029210406209</v>
      </c>
      <c r="T23" s="150">
        <f t="shared" si="6"/>
        <v>72.740548347971554</v>
      </c>
      <c r="U23" s="152"/>
      <c r="V23" s="152"/>
    </row>
    <row r="24" spans="1:22" ht="14.5" thickBot="1">
      <c r="A24" s="148" t="s">
        <v>70</v>
      </c>
      <c r="B24" s="44" t="s">
        <v>12</v>
      </c>
      <c r="C24" s="44">
        <v>0.88770000000000004</v>
      </c>
      <c r="D24" s="44">
        <v>0.85419999999999996</v>
      </c>
      <c r="E24" s="44">
        <v>0.88070000000000004</v>
      </c>
      <c r="F24" s="44">
        <v>0.86719999999999997</v>
      </c>
      <c r="G24" s="44">
        <v>0.96020000000000005</v>
      </c>
      <c r="H24" s="44">
        <v>0.94979999999999998</v>
      </c>
      <c r="I24" s="44">
        <v>0.1144</v>
      </c>
      <c r="J24" s="148"/>
      <c r="K24" s="44"/>
      <c r="L24" s="44"/>
      <c r="M24" s="44"/>
      <c r="N24" s="44"/>
      <c r="O24" s="154">
        <f t="shared" si="1"/>
        <v>64.71922858763476</v>
      </c>
      <c r="P24" s="144">
        <f t="shared" si="2"/>
        <v>65.379043940125541</v>
      </c>
      <c r="Q24" s="144">
        <f t="shared" si="3"/>
        <v>85.561497326203224</v>
      </c>
      <c r="R24" s="144">
        <f t="shared" si="4"/>
        <v>83.668122270742359</v>
      </c>
      <c r="S24" s="145">
        <f t="shared" si="5"/>
        <v>62.246777163904234</v>
      </c>
      <c r="T24" s="150">
        <f t="shared" si="6"/>
        <v>72.314933857722025</v>
      </c>
      <c r="U24" s="152"/>
      <c r="V24" s="152"/>
    </row>
    <row r="25" spans="1:22" ht="14.5" thickBot="1">
      <c r="A25" s="149" t="s">
        <v>70</v>
      </c>
      <c r="B25" s="146" t="s">
        <v>9</v>
      </c>
      <c r="C25" s="146">
        <v>0.80520000000000003</v>
      </c>
      <c r="D25" s="146">
        <v>0.87009999999999998</v>
      </c>
      <c r="E25" s="146">
        <v>0.87009999999999998</v>
      </c>
      <c r="F25" s="146">
        <v>0.87009999999999998</v>
      </c>
      <c r="G25" s="146">
        <v>0.74029999999999996</v>
      </c>
      <c r="H25" s="146">
        <v>0.87009999999999998</v>
      </c>
      <c r="I25" s="146">
        <v>0.1948</v>
      </c>
      <c r="J25" s="149"/>
      <c r="K25" s="146"/>
      <c r="L25" s="146"/>
      <c r="M25" s="146"/>
      <c r="N25" s="146"/>
      <c r="O25" s="154">
        <f t="shared" si="1"/>
        <v>83.052884615384627</v>
      </c>
      <c r="P25" s="144">
        <f t="shared" si="2"/>
        <v>86.642599277978377</v>
      </c>
      <c r="Q25" s="144">
        <f t="shared" si="3"/>
        <v>44.061302681992331</v>
      </c>
      <c r="R25" s="144">
        <f t="shared" si="4"/>
        <v>41.395348837209298</v>
      </c>
      <c r="S25" s="145">
        <f t="shared" si="5"/>
        <v>96.076642335766422</v>
      </c>
      <c r="T25" s="150">
        <f t="shared" si="6"/>
        <v>70.245755549666214</v>
      </c>
      <c r="U25" s="153"/>
      <c r="V25" s="153"/>
    </row>
    <row r="26" spans="1:22" ht="14.5" thickBot="1">
      <c r="A26" s="147" t="s">
        <v>71</v>
      </c>
      <c r="B26" s="144" t="s">
        <v>11</v>
      </c>
      <c r="C26" s="144">
        <v>0.97699999999999998</v>
      </c>
      <c r="D26" s="144">
        <v>0.98180000000000001</v>
      </c>
      <c r="E26" s="144">
        <v>0.97199999999999998</v>
      </c>
      <c r="F26" s="144">
        <v>0.97689999999999999</v>
      </c>
      <c r="G26" s="144">
        <v>0.99660000000000004</v>
      </c>
      <c r="H26" s="144">
        <v>0.99719999999999998</v>
      </c>
      <c r="I26" s="144">
        <v>2.2700000000000001E-2</v>
      </c>
      <c r="J26" s="147">
        <f>AVERAGE(C26:C29)</f>
        <v>0.89144999999999996</v>
      </c>
      <c r="K26" s="144">
        <f>AVERAGE(F26:F29)</f>
        <v>0.91280000000000006</v>
      </c>
      <c r="L26" s="144">
        <f>AVERAGE(G26:G29)</f>
        <v>0.94067500000000004</v>
      </c>
      <c r="M26" s="144">
        <f>AVERAGE(H26:H29)</f>
        <v>0.97347499999999998</v>
      </c>
      <c r="N26" s="144">
        <f>AVERAGE(I26:I29)</f>
        <v>0.11752499999999999</v>
      </c>
      <c r="O26" s="154">
        <f t="shared" si="1"/>
        <v>92.649253731343265</v>
      </c>
      <c r="P26" s="144">
        <f t="shared" si="2"/>
        <v>90.87977890373098</v>
      </c>
      <c r="Q26" s="144">
        <f t="shared" si="3"/>
        <v>96.786757546251252</v>
      </c>
      <c r="R26" s="144">
        <f t="shared" si="4"/>
        <v>97.416267942583701</v>
      </c>
      <c r="S26" s="145">
        <f t="shared" si="5"/>
        <v>89.143816452154439</v>
      </c>
      <c r="T26" s="150">
        <f t="shared" si="6"/>
        <v>93.375174915212739</v>
      </c>
      <c r="U26" s="151">
        <f t="shared" si="8"/>
        <v>76.894273766904277</v>
      </c>
      <c r="V26" s="151">
        <v>2</v>
      </c>
    </row>
    <row r="27" spans="1:22" ht="14.5" thickBot="1">
      <c r="A27" s="148" t="s">
        <v>71</v>
      </c>
      <c r="B27" s="44" t="s">
        <v>10</v>
      </c>
      <c r="C27" s="44">
        <v>0.92700000000000005</v>
      </c>
      <c r="D27" s="44">
        <v>0.92720000000000002</v>
      </c>
      <c r="E27" s="44">
        <v>0.99760000000000004</v>
      </c>
      <c r="F27" s="44">
        <v>0.96109999999999995</v>
      </c>
      <c r="G27" s="44">
        <v>0.93799999999999994</v>
      </c>
      <c r="H27" s="44">
        <v>0.99229999999999996</v>
      </c>
      <c r="I27" s="44">
        <v>0.1419</v>
      </c>
      <c r="J27" s="148"/>
      <c r="K27" s="44"/>
      <c r="L27" s="44"/>
      <c r="M27" s="44"/>
      <c r="N27" s="44"/>
      <c r="O27" s="154">
        <f t="shared" si="1"/>
        <v>30.834213305174234</v>
      </c>
      <c r="P27" s="144">
        <f t="shared" si="2"/>
        <v>31.692913385826738</v>
      </c>
      <c r="Q27" s="144">
        <f t="shared" si="3"/>
        <v>85.747609050618138</v>
      </c>
      <c r="R27" s="144">
        <f t="shared" si="4"/>
        <v>90.052356020942341</v>
      </c>
      <c r="S27" s="145">
        <f t="shared" si="5"/>
        <v>70.789593792788693</v>
      </c>
      <c r="T27" s="150">
        <f t="shared" si="6"/>
        <v>61.823337111070032</v>
      </c>
      <c r="U27" s="152"/>
      <c r="V27" s="152"/>
    </row>
    <row r="28" spans="1:22" ht="14.5" thickBot="1">
      <c r="A28" s="148" t="s">
        <v>71</v>
      </c>
      <c r="B28" s="44" t="s">
        <v>12</v>
      </c>
      <c r="C28" s="44">
        <v>0.86829999999999996</v>
      </c>
      <c r="D28" s="44">
        <v>0.77300000000000002</v>
      </c>
      <c r="E28" s="44">
        <v>0.96799999999999997</v>
      </c>
      <c r="F28" s="44">
        <v>0.85960000000000003</v>
      </c>
      <c r="G28" s="44">
        <v>0.97430000000000005</v>
      </c>
      <c r="H28" s="44">
        <v>0.96709999999999996</v>
      </c>
      <c r="I28" s="44">
        <v>9.2999999999999999E-2</v>
      </c>
      <c r="J28" s="148"/>
      <c r="K28" s="44"/>
      <c r="L28" s="44"/>
      <c r="M28" s="44"/>
      <c r="N28" s="44"/>
      <c r="O28" s="154">
        <f t="shared" si="1"/>
        <v>53.715258082813392</v>
      </c>
      <c r="P28" s="144">
        <f t="shared" si="2"/>
        <v>61.709319169483365</v>
      </c>
      <c r="Q28" s="144">
        <f t="shared" si="3"/>
        <v>92.416140009722923</v>
      </c>
      <c r="R28" s="144">
        <f t="shared" si="4"/>
        <v>91.222707423580786</v>
      </c>
      <c r="S28" s="145">
        <f t="shared" si="5"/>
        <v>75.383670963781455</v>
      </c>
      <c r="T28" s="150">
        <f t="shared" si="6"/>
        <v>74.889419129876387</v>
      </c>
      <c r="U28" s="152"/>
      <c r="V28" s="152"/>
    </row>
    <row r="29" spans="1:22" ht="14.5" thickBot="1">
      <c r="A29" s="149" t="s">
        <v>71</v>
      </c>
      <c r="B29" s="146" t="s">
        <v>9</v>
      </c>
      <c r="C29" s="146">
        <v>0.79349999999999998</v>
      </c>
      <c r="D29" s="146">
        <v>0.9103</v>
      </c>
      <c r="E29" s="146">
        <v>0.80389999999999995</v>
      </c>
      <c r="F29" s="146">
        <v>0.85360000000000003</v>
      </c>
      <c r="G29" s="146">
        <v>0.8538</v>
      </c>
      <c r="H29" s="146">
        <v>0.93730000000000002</v>
      </c>
      <c r="I29" s="146">
        <v>0.21249999999999999</v>
      </c>
      <c r="J29" s="149"/>
      <c r="K29" s="146"/>
      <c r="L29" s="146"/>
      <c r="M29" s="146"/>
      <c r="N29" s="146"/>
      <c r="O29" s="154">
        <f t="shared" si="1"/>
        <v>68.990384615384585</v>
      </c>
      <c r="P29" s="144">
        <f t="shared" si="2"/>
        <v>56.859205776173347</v>
      </c>
      <c r="Q29" s="144">
        <f t="shared" si="3"/>
        <v>87.547892720306521</v>
      </c>
      <c r="R29" s="144">
        <f t="shared" si="4"/>
        <v>86.04651162790698</v>
      </c>
      <c r="S29" s="145">
        <f t="shared" si="5"/>
        <v>88.001824817518255</v>
      </c>
      <c r="T29" s="150">
        <f t="shared" si="6"/>
        <v>77.489163911457936</v>
      </c>
      <c r="U29" s="153"/>
      <c r="V29" s="153"/>
    </row>
    <row r="30" spans="1:22" ht="14.5" thickBot="1">
      <c r="A30" s="147" t="s">
        <v>72</v>
      </c>
      <c r="B30" s="144" t="s">
        <v>11</v>
      </c>
      <c r="C30" s="144">
        <v>0.99070000000000003</v>
      </c>
      <c r="D30" s="144">
        <v>0.98870000000000002</v>
      </c>
      <c r="E30" s="144">
        <v>0.99270000000000003</v>
      </c>
      <c r="F30" s="144">
        <v>0.99070000000000003</v>
      </c>
      <c r="G30" s="144">
        <v>0.99780000000000002</v>
      </c>
      <c r="H30" s="144">
        <v>0.995</v>
      </c>
      <c r="I30" s="144">
        <v>8.9999999999999993E-3</v>
      </c>
      <c r="J30" s="147">
        <f>AVERAGE(C30:C33)</f>
        <v>0.92212500000000008</v>
      </c>
      <c r="K30" s="144">
        <f>AVERAGE(F30:F33)</f>
        <v>0.93492500000000001</v>
      </c>
      <c r="L30" s="144">
        <f>AVERAGE(G30:G33)</f>
        <v>0.96215000000000006</v>
      </c>
      <c r="M30" s="144">
        <f>AVERAGE(H30:H33)</f>
        <v>0.97992500000000005</v>
      </c>
      <c r="N30" s="144">
        <f>AVERAGE(I30:I33)</f>
        <v>8.3650000000000002E-2</v>
      </c>
      <c r="O30" s="154">
        <f t="shared" si="1"/>
        <v>97.761194029850742</v>
      </c>
      <c r="P30" s="144">
        <f t="shared" si="2"/>
        <v>97.236296637494249</v>
      </c>
      <c r="Q30" s="144">
        <f t="shared" si="3"/>
        <v>97.955209347614428</v>
      </c>
      <c r="R30" s="144">
        <f t="shared" si="4"/>
        <v>95.311004784688976</v>
      </c>
      <c r="S30" s="145">
        <f t="shared" si="5"/>
        <v>96.810296586457738</v>
      </c>
      <c r="T30" s="150">
        <f t="shared" si="6"/>
        <v>97.014800277221227</v>
      </c>
      <c r="U30" s="151">
        <f t="shared" si="8"/>
        <v>91.823585060952212</v>
      </c>
      <c r="V30" s="151">
        <v>1</v>
      </c>
    </row>
    <row r="31" spans="1:22" ht="14.5" thickBot="1">
      <c r="A31" s="148" t="s">
        <v>72</v>
      </c>
      <c r="B31" s="44" t="s">
        <v>10</v>
      </c>
      <c r="C31" s="44">
        <v>0.97430000000000005</v>
      </c>
      <c r="D31" s="44">
        <v>0.97529999999999994</v>
      </c>
      <c r="E31" s="44">
        <v>0.99680000000000002</v>
      </c>
      <c r="F31" s="44">
        <v>0.98599999999999999</v>
      </c>
      <c r="G31" s="44">
        <v>0.99</v>
      </c>
      <c r="H31" s="44">
        <v>0.99880000000000002</v>
      </c>
      <c r="I31" s="44">
        <v>4.5100000000000001E-2</v>
      </c>
      <c r="J31" s="148"/>
      <c r="K31" s="44"/>
      <c r="L31" s="44"/>
      <c r="M31" s="44"/>
      <c r="N31" s="44"/>
      <c r="O31" s="154">
        <f t="shared" si="1"/>
        <v>80.78141499472018</v>
      </c>
      <c r="P31" s="144">
        <f t="shared" si="2"/>
        <v>80.708661417322801</v>
      </c>
      <c r="Q31" s="144">
        <f t="shared" si="3"/>
        <v>97.877303475623975</v>
      </c>
      <c r="R31" s="144">
        <f t="shared" si="4"/>
        <v>98.56020942408378</v>
      </c>
      <c r="S31" s="145">
        <f t="shared" si="5"/>
        <v>92.879963486992253</v>
      </c>
      <c r="T31" s="150">
        <f t="shared" si="6"/>
        <v>90.161510559748606</v>
      </c>
      <c r="U31" s="152"/>
      <c r="V31" s="152"/>
    </row>
    <row r="32" spans="1:22" ht="14.5" thickBot="1">
      <c r="A32" s="148" t="s">
        <v>72</v>
      </c>
      <c r="B32" s="44" t="s">
        <v>12</v>
      </c>
      <c r="C32" s="44">
        <v>0.9042</v>
      </c>
      <c r="D32" s="44">
        <v>0.85129999999999995</v>
      </c>
      <c r="E32" s="44">
        <v>0.93310000000000004</v>
      </c>
      <c r="F32" s="44">
        <v>0.89029999999999998</v>
      </c>
      <c r="G32" s="44">
        <v>0.97550000000000003</v>
      </c>
      <c r="H32" s="44">
        <v>0.96760000000000002</v>
      </c>
      <c r="I32" s="44">
        <v>9.4299999999999995E-2</v>
      </c>
      <c r="J32" s="148"/>
      <c r="K32" s="44"/>
      <c r="L32" s="44"/>
      <c r="M32" s="44"/>
      <c r="N32" s="44"/>
      <c r="O32" s="154">
        <f t="shared" si="1"/>
        <v>74.078275666477623</v>
      </c>
      <c r="P32" s="144">
        <f t="shared" si="2"/>
        <v>76.533075808788027</v>
      </c>
      <c r="Q32" s="144">
        <f t="shared" si="3"/>
        <v>92.999513855128839</v>
      </c>
      <c r="R32" s="144">
        <f t="shared" si="4"/>
        <v>91.441048034934511</v>
      </c>
      <c r="S32" s="145">
        <f t="shared" si="5"/>
        <v>74.585635359116026</v>
      </c>
      <c r="T32" s="150">
        <f t="shared" si="6"/>
        <v>81.927509744889022</v>
      </c>
      <c r="U32" s="152"/>
      <c r="V32" s="152"/>
    </row>
    <row r="33" spans="1:22" ht="14.5" thickBot="1">
      <c r="A33" s="149" t="s">
        <v>72</v>
      </c>
      <c r="B33" s="146" t="s">
        <v>9</v>
      </c>
      <c r="C33" s="146">
        <v>0.81930000000000003</v>
      </c>
      <c r="D33" s="146">
        <v>0.92569999999999997</v>
      </c>
      <c r="E33" s="146">
        <v>0.82540000000000002</v>
      </c>
      <c r="F33" s="146">
        <v>0.87270000000000003</v>
      </c>
      <c r="G33" s="146">
        <v>0.88529999999999998</v>
      </c>
      <c r="H33" s="146">
        <v>0.95830000000000004</v>
      </c>
      <c r="I33" s="146">
        <v>0.1862</v>
      </c>
      <c r="J33" s="149"/>
      <c r="K33" s="146"/>
      <c r="L33" s="146"/>
      <c r="M33" s="146"/>
      <c r="N33" s="146"/>
      <c r="O33" s="154">
        <f t="shared" si="1"/>
        <v>100</v>
      </c>
      <c r="P33" s="144">
        <f t="shared" si="2"/>
        <v>91.335740072202299</v>
      </c>
      <c r="Q33" s="144">
        <f t="shared" si="3"/>
        <v>99.616858237547888</v>
      </c>
      <c r="R33" s="144">
        <f t="shared" si="4"/>
        <v>100</v>
      </c>
      <c r="S33" s="145">
        <f t="shared" si="5"/>
        <v>100</v>
      </c>
      <c r="T33" s="150">
        <f t="shared" si="6"/>
        <v>98.190519661950049</v>
      </c>
      <c r="U33" s="153"/>
      <c r="V33" s="153"/>
    </row>
    <row r="34" spans="1:22" ht="14.5" thickBot="1">
      <c r="A34" s="147" t="s">
        <v>62</v>
      </c>
      <c r="B34" s="144" t="s">
        <v>11</v>
      </c>
      <c r="C34" s="144">
        <v>0.98799999999999999</v>
      </c>
      <c r="D34" s="144">
        <v>0.99</v>
      </c>
      <c r="E34" s="144">
        <v>0.98599999999999999</v>
      </c>
      <c r="F34" s="144">
        <v>0.98799999999999999</v>
      </c>
      <c r="G34" s="144">
        <v>0.99839999999999995</v>
      </c>
      <c r="H34" s="144">
        <v>0.99850000000000005</v>
      </c>
      <c r="I34" s="144">
        <v>0.01</v>
      </c>
      <c r="J34" s="147">
        <f>AVERAGE(C34:C37)</f>
        <v>0.90595000000000003</v>
      </c>
      <c r="K34" s="144">
        <f>AVERAGE(F34:F37)</f>
        <v>0.92202499999999998</v>
      </c>
      <c r="L34" s="144">
        <f>AVERAGE(G34:G37)</f>
        <v>0.95934999999999993</v>
      </c>
      <c r="M34" s="144">
        <f>AVERAGE(H34:H37)</f>
        <v>0.97887500000000005</v>
      </c>
      <c r="N34" s="144">
        <f>AVERAGE(I34:I37)</f>
        <v>8.8400000000000006E-2</v>
      </c>
      <c r="O34" s="154">
        <f t="shared" si="1"/>
        <v>96.753731343283562</v>
      </c>
      <c r="P34" s="144">
        <f t="shared" si="2"/>
        <v>95.992630124366627</v>
      </c>
      <c r="Q34" s="144">
        <f t="shared" si="3"/>
        <v>98.539435248295945</v>
      </c>
      <c r="R34" s="144">
        <f t="shared" si="4"/>
        <v>98.66028708133976</v>
      </c>
      <c r="S34" s="145">
        <f t="shared" si="5"/>
        <v>96.250699496362614</v>
      </c>
      <c r="T34" s="150">
        <f t="shared" si="6"/>
        <v>97.239356658729704</v>
      </c>
      <c r="U34" s="151">
        <f t="shared" si="8"/>
        <v>85.4655256287611</v>
      </c>
      <c r="V34" s="151">
        <v>2</v>
      </c>
    </row>
    <row r="35" spans="1:22" ht="14.5" thickBot="1">
      <c r="A35" s="148" t="s">
        <v>62</v>
      </c>
      <c r="B35" s="44" t="s">
        <v>10</v>
      </c>
      <c r="C35" s="44">
        <v>0.95740000000000003</v>
      </c>
      <c r="D35" s="44">
        <v>0.95609999999999995</v>
      </c>
      <c r="E35" s="44">
        <v>0.99870000000000003</v>
      </c>
      <c r="F35" s="44">
        <v>0.97699999999999998</v>
      </c>
      <c r="G35" s="44">
        <v>0.98450000000000004</v>
      </c>
      <c r="H35" s="44">
        <v>0.99809999999999999</v>
      </c>
      <c r="I35" s="44">
        <v>5.4600000000000003E-2</v>
      </c>
      <c r="J35" s="148"/>
      <c r="K35" s="44"/>
      <c r="L35" s="44"/>
      <c r="M35" s="44"/>
      <c r="N35" s="44"/>
      <c r="O35" s="154">
        <f t="shared" si="1"/>
        <v>62.935586061246021</v>
      </c>
      <c r="P35" s="144">
        <f t="shared" si="2"/>
        <v>62.992125984251942</v>
      </c>
      <c r="Q35" s="144">
        <f t="shared" si="3"/>
        <v>96.594355026825298</v>
      </c>
      <c r="R35" s="144">
        <f t="shared" si="4"/>
        <v>97.643979057591594</v>
      </c>
      <c r="S35" s="145">
        <f t="shared" si="5"/>
        <v>90.71200365130079</v>
      </c>
      <c r="T35" s="150">
        <f t="shared" si="6"/>
        <v>82.175609956243136</v>
      </c>
      <c r="U35" s="152"/>
      <c r="V35" s="152"/>
    </row>
    <row r="36" spans="1:22" ht="14.5" thickBot="1">
      <c r="A36" s="148" t="s">
        <v>62</v>
      </c>
      <c r="B36" s="44" t="s">
        <v>12</v>
      </c>
      <c r="C36" s="44">
        <v>0.878</v>
      </c>
      <c r="D36" s="44">
        <v>0.79559999999999997</v>
      </c>
      <c r="E36" s="44">
        <v>0.95150000000000001</v>
      </c>
      <c r="F36" s="44">
        <v>0.86660000000000004</v>
      </c>
      <c r="G36" s="44">
        <v>0.96819999999999995</v>
      </c>
      <c r="H36" s="44">
        <v>0.9607</v>
      </c>
      <c r="I36" s="44">
        <v>9.4100000000000003E-2</v>
      </c>
      <c r="J36" s="148"/>
      <c r="K36" s="44"/>
      <c r="L36" s="44"/>
      <c r="M36" s="44"/>
      <c r="N36" s="44"/>
      <c r="O36" s="154">
        <f t="shared" si="1"/>
        <v>59.217243335224069</v>
      </c>
      <c r="P36" s="144">
        <f t="shared" si="2"/>
        <v>65.089328826653826</v>
      </c>
      <c r="Q36" s="144">
        <f t="shared" si="3"/>
        <v>89.450656295576053</v>
      </c>
      <c r="R36" s="144">
        <f t="shared" si="4"/>
        <v>88.427947598253283</v>
      </c>
      <c r="S36" s="145">
        <f t="shared" si="5"/>
        <v>74.708410067526088</v>
      </c>
      <c r="T36" s="150">
        <f t="shared" si="6"/>
        <v>75.378717224646664</v>
      </c>
      <c r="U36" s="152"/>
      <c r="V36" s="152"/>
    </row>
    <row r="37" spans="1:22" ht="14.5" thickBot="1">
      <c r="A37" s="149" t="s">
        <v>62</v>
      </c>
      <c r="B37" s="146" t="s">
        <v>9</v>
      </c>
      <c r="C37" s="146">
        <v>0.8004</v>
      </c>
      <c r="D37" s="146">
        <v>0.93149999999999999</v>
      </c>
      <c r="E37" s="146">
        <v>0.79210000000000003</v>
      </c>
      <c r="F37" s="146">
        <v>0.85650000000000004</v>
      </c>
      <c r="G37" s="146">
        <v>0.88629999999999998</v>
      </c>
      <c r="H37" s="146">
        <v>0.95820000000000005</v>
      </c>
      <c r="I37" s="146">
        <v>0.19489999999999999</v>
      </c>
      <c r="J37" s="149"/>
      <c r="K37" s="146"/>
      <c r="L37" s="146"/>
      <c r="M37" s="146"/>
      <c r="N37" s="146"/>
      <c r="O37" s="154">
        <f t="shared" si="1"/>
        <v>77.283653846153825</v>
      </c>
      <c r="P37" s="144">
        <f t="shared" si="2"/>
        <v>62.09386281588457</v>
      </c>
      <c r="Q37" s="144">
        <f t="shared" si="3"/>
        <v>100</v>
      </c>
      <c r="R37" s="144">
        <f t="shared" si="4"/>
        <v>99.933554817275763</v>
      </c>
      <c r="S37" s="145">
        <f t="shared" si="5"/>
        <v>96.03102189781022</v>
      </c>
      <c r="T37" s="150">
        <f t="shared" si="6"/>
        <v>87.068418675424866</v>
      </c>
      <c r="U37" s="153"/>
      <c r="V37" s="153"/>
    </row>
    <row r="38" spans="1:22" ht="14.5" thickBot="1">
      <c r="A38" s="147" t="s">
        <v>73</v>
      </c>
      <c r="B38" s="144" t="s">
        <v>11</v>
      </c>
      <c r="C38" s="144">
        <v>0.98099999999999998</v>
      </c>
      <c r="D38" s="144">
        <v>0.97560000000000002</v>
      </c>
      <c r="E38" s="144">
        <v>0.98670000000000002</v>
      </c>
      <c r="F38" s="144">
        <v>0.98109999999999997</v>
      </c>
      <c r="G38" s="144">
        <v>0.99819999999999998</v>
      </c>
      <c r="H38" s="144">
        <v>0.99809999999999999</v>
      </c>
      <c r="I38" s="144">
        <v>2.1000000000000001E-2</v>
      </c>
      <c r="J38" s="147">
        <f>AVERAGE(C38:C41)</f>
        <v>0.89182499999999998</v>
      </c>
      <c r="K38" s="144">
        <f>AVERAGE(F38:F41)</f>
        <v>0.91139999999999999</v>
      </c>
      <c r="L38" s="144">
        <f>AVERAGE(G38:G41)</f>
        <v>0.90822499999999995</v>
      </c>
      <c r="M38" s="144">
        <f>AVERAGE(H38:H41)</f>
        <v>0.94392500000000001</v>
      </c>
      <c r="N38" s="144">
        <f>AVERAGE(I38:I41)</f>
        <v>0.11637499999999999</v>
      </c>
      <c r="O38" s="154">
        <f t="shared" si="1"/>
        <v>94.141791044776099</v>
      </c>
      <c r="P38" s="144">
        <f t="shared" si="2"/>
        <v>92.814371257485007</v>
      </c>
      <c r="Q38" s="144">
        <f t="shared" si="3"/>
        <v>98.344693281402101</v>
      </c>
      <c r="R38" s="144">
        <f t="shared" si="4"/>
        <v>98.277511961722468</v>
      </c>
      <c r="S38" s="145">
        <f t="shared" si="5"/>
        <v>90.095131505316175</v>
      </c>
      <c r="T38" s="150">
        <f t="shared" si="6"/>
        <v>94.73469981014037</v>
      </c>
      <c r="U38" s="151">
        <f t="shared" si="8"/>
        <v>73.357108631631988</v>
      </c>
      <c r="V38" s="151">
        <v>2</v>
      </c>
    </row>
    <row r="39" spans="1:22" ht="14.5" thickBot="1">
      <c r="A39" s="148" t="s">
        <v>73</v>
      </c>
      <c r="B39" s="44" t="s">
        <v>10</v>
      </c>
      <c r="C39" s="44">
        <v>0.96479999999999999</v>
      </c>
      <c r="D39" s="44">
        <v>0.96799999999999997</v>
      </c>
      <c r="E39" s="44">
        <v>0.99390000000000001</v>
      </c>
      <c r="F39" s="44">
        <v>0.98080000000000001</v>
      </c>
      <c r="G39" s="44">
        <v>0.98050000000000004</v>
      </c>
      <c r="H39" s="44">
        <v>0.99770000000000003</v>
      </c>
      <c r="I39" s="44">
        <v>6.8599999999999994E-2</v>
      </c>
      <c r="J39" s="148"/>
      <c r="K39" s="44"/>
      <c r="L39" s="44"/>
      <c r="M39" s="44"/>
      <c r="N39" s="44"/>
      <c r="O39" s="154">
        <f t="shared" si="1"/>
        <v>70.74973600844767</v>
      </c>
      <c r="P39" s="144">
        <f t="shared" si="2"/>
        <v>70.472440944881896</v>
      </c>
      <c r="Q39" s="144">
        <f t="shared" si="3"/>
        <v>95.661301609517153</v>
      </c>
      <c r="R39" s="144">
        <f t="shared" si="4"/>
        <v>97.12041884816756</v>
      </c>
      <c r="S39" s="145">
        <f t="shared" si="5"/>
        <v>87.517115472387047</v>
      </c>
      <c r="T39" s="150">
        <f t="shared" si="6"/>
        <v>84.304202576680254</v>
      </c>
      <c r="U39" s="152"/>
      <c r="V39" s="152"/>
    </row>
    <row r="40" spans="1:22" ht="14.5" thickBot="1">
      <c r="A40" s="148" t="s">
        <v>73</v>
      </c>
      <c r="B40" s="44" t="s">
        <v>12</v>
      </c>
      <c r="C40" s="44">
        <v>0.83030000000000004</v>
      </c>
      <c r="D40" s="44">
        <v>0.74539999999999995</v>
      </c>
      <c r="E40" s="44">
        <v>0.90010000000000001</v>
      </c>
      <c r="F40" s="44">
        <v>0.8155</v>
      </c>
      <c r="G40" s="44">
        <v>0.84030000000000005</v>
      </c>
      <c r="H40" s="44">
        <v>0.85119999999999996</v>
      </c>
      <c r="I40" s="44">
        <v>0.1045</v>
      </c>
      <c r="J40" s="148"/>
      <c r="K40" s="44"/>
      <c r="L40" s="44"/>
      <c r="M40" s="44"/>
      <c r="N40" s="44"/>
      <c r="O40" s="154">
        <f t="shared" si="1"/>
        <v>32.161089052751038</v>
      </c>
      <c r="P40" s="144">
        <f t="shared" si="2"/>
        <v>40.415258329309523</v>
      </c>
      <c r="Q40" s="144">
        <f t="shared" si="3"/>
        <v>27.272727272727295</v>
      </c>
      <c r="R40" s="144">
        <f t="shared" si="4"/>
        <v>40.611353711790379</v>
      </c>
      <c r="S40" s="145">
        <f t="shared" si="5"/>
        <v>68.324125230202583</v>
      </c>
      <c r="T40" s="150">
        <f t="shared" si="6"/>
        <v>41.756910719356163</v>
      </c>
      <c r="U40" s="152"/>
      <c r="V40" s="152"/>
    </row>
    <row r="41" spans="1:22" ht="14.5" thickBot="1">
      <c r="A41" s="149" t="s">
        <v>73</v>
      </c>
      <c r="B41" s="146" t="s">
        <v>9</v>
      </c>
      <c r="C41" s="146">
        <v>0.79120000000000001</v>
      </c>
      <c r="D41" s="146">
        <v>0.82410000000000005</v>
      </c>
      <c r="E41" s="146">
        <v>0.9173</v>
      </c>
      <c r="F41" s="146">
        <v>0.86819999999999997</v>
      </c>
      <c r="G41" s="146">
        <v>0.81389999999999996</v>
      </c>
      <c r="H41" s="146">
        <v>0.92869999999999997</v>
      </c>
      <c r="I41" s="146">
        <v>0.27139999999999997</v>
      </c>
      <c r="J41" s="149"/>
      <c r="K41" s="146"/>
      <c r="L41" s="146"/>
      <c r="M41" s="146"/>
      <c r="N41" s="146"/>
      <c r="O41" s="154">
        <f t="shared" si="1"/>
        <v>66.225961538461547</v>
      </c>
      <c r="P41" s="144">
        <f t="shared" si="2"/>
        <v>83.212996389891714</v>
      </c>
      <c r="Q41" s="144">
        <f t="shared" si="3"/>
        <v>72.260536398467423</v>
      </c>
      <c r="R41" s="144">
        <f t="shared" si="4"/>
        <v>80.33222591362123</v>
      </c>
      <c r="S41" s="145">
        <f t="shared" si="5"/>
        <v>61.131386861313871</v>
      </c>
      <c r="T41" s="150">
        <f t="shared" si="6"/>
        <v>72.632621420351171</v>
      </c>
      <c r="U41" s="153"/>
      <c r="V41" s="153"/>
    </row>
    <row r="42" spans="1:22" ht="14.5" thickBot="1">
      <c r="A42" s="147" t="s">
        <v>63</v>
      </c>
      <c r="B42" s="144" t="s">
        <v>11</v>
      </c>
      <c r="C42" s="144">
        <v>0.99670000000000003</v>
      </c>
      <c r="D42" s="144">
        <v>0.99670000000000003</v>
      </c>
      <c r="E42" s="144">
        <v>0.99670000000000003</v>
      </c>
      <c r="F42" s="144">
        <v>0.99670000000000003</v>
      </c>
      <c r="G42" s="144">
        <v>0.99990000000000001</v>
      </c>
      <c r="H42" s="144">
        <v>0.99990000000000001</v>
      </c>
      <c r="I42" s="144">
        <v>3.3E-3</v>
      </c>
      <c r="J42" s="147">
        <f>AVERAGE(C42:C45)</f>
        <v>0.93772499999999992</v>
      </c>
      <c r="K42" s="144">
        <f>AVERAGE(F42:F45)</f>
        <v>0.95222499999999999</v>
      </c>
      <c r="L42" s="144">
        <f>AVERAGE(G42:G45)</f>
        <v>0.95762500000000006</v>
      </c>
      <c r="M42" s="144">
        <f>AVERAGE(H42:H45)</f>
        <v>0.98102500000000004</v>
      </c>
      <c r="N42" s="144">
        <f>AVERAGE(I42:I45)</f>
        <v>7.6850000000000002E-2</v>
      </c>
      <c r="O42" s="154">
        <f t="shared" si="1"/>
        <v>100</v>
      </c>
      <c r="P42" s="144">
        <f t="shared" si="2"/>
        <v>100</v>
      </c>
      <c r="Q42" s="144">
        <f t="shared" si="3"/>
        <v>100</v>
      </c>
      <c r="R42" s="144">
        <f t="shared" si="4"/>
        <v>100</v>
      </c>
      <c r="S42" s="145">
        <f t="shared" si="5"/>
        <v>100</v>
      </c>
      <c r="T42" s="150">
        <f t="shared" si="6"/>
        <v>100</v>
      </c>
      <c r="U42" s="151">
        <f t="shared" si="8"/>
        <v>96.82303588041529</v>
      </c>
      <c r="V42" s="151">
        <v>1</v>
      </c>
    </row>
    <row r="43" spans="1:22" ht="14.5" thickBot="1">
      <c r="A43" s="148" t="s">
        <v>63</v>
      </c>
      <c r="B43" s="44" t="s">
        <v>10</v>
      </c>
      <c r="C43" s="44">
        <v>0.99250000000000005</v>
      </c>
      <c r="D43" s="44">
        <v>0.99280000000000002</v>
      </c>
      <c r="E43" s="44">
        <v>0.99890000000000001</v>
      </c>
      <c r="F43" s="44">
        <v>0.99580000000000002</v>
      </c>
      <c r="G43" s="44">
        <v>0.99909999999999999</v>
      </c>
      <c r="H43" s="44">
        <v>0.99990000000000001</v>
      </c>
      <c r="I43" s="44">
        <v>1.3899999999999999E-2</v>
      </c>
      <c r="J43" s="148"/>
      <c r="K43" s="44"/>
      <c r="L43" s="44"/>
      <c r="M43" s="44"/>
      <c r="N43" s="44"/>
      <c r="O43" s="154">
        <f t="shared" si="1"/>
        <v>100</v>
      </c>
      <c r="P43" s="144">
        <f t="shared" si="2"/>
        <v>100</v>
      </c>
      <c r="Q43" s="144">
        <f t="shared" si="3"/>
        <v>100</v>
      </c>
      <c r="R43" s="144">
        <f t="shared" si="4"/>
        <v>100</v>
      </c>
      <c r="S43" s="145">
        <f t="shared" si="5"/>
        <v>100</v>
      </c>
      <c r="T43" s="150">
        <f t="shared" si="6"/>
        <v>100</v>
      </c>
      <c r="U43" s="152"/>
      <c r="V43" s="152"/>
    </row>
    <row r="44" spans="1:22" ht="14.5" thickBot="1">
      <c r="A44" s="148" t="s">
        <v>63</v>
      </c>
      <c r="B44" s="44" t="s">
        <v>12</v>
      </c>
      <c r="C44" s="44">
        <v>0.94989999999999997</v>
      </c>
      <c r="D44" s="44">
        <v>0.95489999999999997</v>
      </c>
      <c r="E44" s="44">
        <v>0.9234</v>
      </c>
      <c r="F44" s="44">
        <v>0.93889999999999996</v>
      </c>
      <c r="G44" s="44">
        <v>0.9899</v>
      </c>
      <c r="H44" s="44">
        <v>0.98719999999999997</v>
      </c>
      <c r="I44" s="44">
        <v>5.2900000000000003E-2</v>
      </c>
      <c r="J44" s="148"/>
      <c r="K44" s="44"/>
      <c r="L44" s="44"/>
      <c r="M44" s="44"/>
      <c r="N44" s="44"/>
      <c r="O44" s="154">
        <f t="shared" si="1"/>
        <v>100</v>
      </c>
      <c r="P44" s="144">
        <f t="shared" si="2"/>
        <v>100</v>
      </c>
      <c r="Q44" s="144">
        <f t="shared" si="3"/>
        <v>100</v>
      </c>
      <c r="R44" s="144">
        <f t="shared" si="4"/>
        <v>100</v>
      </c>
      <c r="S44" s="145">
        <f t="shared" si="5"/>
        <v>100</v>
      </c>
      <c r="T44" s="150">
        <f t="shared" si="6"/>
        <v>100</v>
      </c>
      <c r="U44" s="152"/>
      <c r="V44" s="152"/>
    </row>
    <row r="45" spans="1:22" ht="14.5" thickBot="1">
      <c r="A45" s="149" t="s">
        <v>63</v>
      </c>
      <c r="B45" s="146" t="s">
        <v>9</v>
      </c>
      <c r="C45" s="146">
        <v>0.81179999999999997</v>
      </c>
      <c r="D45" s="146">
        <v>0.85760000000000003</v>
      </c>
      <c r="E45" s="146">
        <v>0.8982</v>
      </c>
      <c r="F45" s="146">
        <v>0.87749999999999995</v>
      </c>
      <c r="G45" s="146">
        <v>0.84160000000000001</v>
      </c>
      <c r="H45" s="146">
        <v>0.93710000000000004</v>
      </c>
      <c r="I45" s="146">
        <v>0.23730000000000001</v>
      </c>
      <c r="J45" s="149"/>
      <c r="K45" s="146"/>
      <c r="L45" s="146"/>
      <c r="M45" s="146"/>
      <c r="N45" s="146"/>
      <c r="O45" s="155">
        <f t="shared" si="1"/>
        <v>90.985576923076849</v>
      </c>
      <c r="P45" s="156">
        <f t="shared" si="2"/>
        <v>100</v>
      </c>
      <c r="Q45" s="156">
        <f t="shared" si="3"/>
        <v>82.873563218390828</v>
      </c>
      <c r="R45" s="156">
        <f t="shared" si="4"/>
        <v>85.913621262458477</v>
      </c>
      <c r="S45" s="157">
        <f t="shared" si="5"/>
        <v>76.68795620437956</v>
      </c>
      <c r="T45" s="158">
        <f t="shared" si="6"/>
        <v>87.292143521661131</v>
      </c>
      <c r="U45" s="152"/>
      <c r="V45" s="153"/>
    </row>
    <row r="47" spans="1:22">
      <c r="B47" t="s">
        <v>79</v>
      </c>
      <c r="C47" t="s">
        <v>87</v>
      </c>
      <c r="D47" t="s">
        <v>88</v>
      </c>
    </row>
  </sheetData>
  <mergeCells count="22">
    <mergeCell ref="V42:V45"/>
    <mergeCell ref="V18:V21"/>
    <mergeCell ref="V22:V25"/>
    <mergeCell ref="V26:V29"/>
    <mergeCell ref="V30:V33"/>
    <mergeCell ref="V34:V37"/>
    <mergeCell ref="V38:V41"/>
    <mergeCell ref="U26:U29"/>
    <mergeCell ref="U30:U33"/>
    <mergeCell ref="U34:U37"/>
    <mergeCell ref="U38:U41"/>
    <mergeCell ref="U42:U45"/>
    <mergeCell ref="V2:V5"/>
    <mergeCell ref="V6:V9"/>
    <mergeCell ref="V10:V13"/>
    <mergeCell ref="V14:V17"/>
    <mergeCell ref="U2:U5"/>
    <mergeCell ref="U6:U9"/>
    <mergeCell ref="U10:U13"/>
    <mergeCell ref="U14:U17"/>
    <mergeCell ref="U18:U21"/>
    <mergeCell ref="U22:U2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Metrics</vt:lpstr>
      <vt:lpstr>Cross-domain</vt:lpstr>
      <vt:lpstr>in domain</vt:lpstr>
      <vt:lpstr>all updated indomain</vt:lpstr>
      <vt:lpstr>recomandation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 khan</cp:lastModifiedBy>
  <dcterms:modified xsi:type="dcterms:W3CDTF">2026-08-19T06:20:44Z</dcterms:modified>
</cp:coreProperties>
</file>