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eek\Downloads\"/>
    </mc:Choice>
  </mc:AlternateContent>
  <xr:revisionPtr revIDLastSave="0" documentId="13_ncr:1_{9841F477-F8F0-494C-818A-EDEFB52F361A}" xr6:coauthVersionLast="47" xr6:coauthVersionMax="47" xr10:uidLastSave="{00000000-0000-0000-0000-000000000000}"/>
  <bookViews>
    <workbookView xWindow="-110" yWindow="-110" windowWidth="25820" windowHeight="15500" firstSheet="2" activeTab="5" xr2:uid="{00000000-000D-0000-FFFF-FFFF00000000}"/>
  </bookViews>
  <sheets>
    <sheet name="All Runs" sheetId="4" r:id="rId1"/>
    <sheet name="Key Runs" sheetId="5" r:id="rId2"/>
    <sheet name="Resource Mean Matrix" sheetId="1" r:id="rId3"/>
    <sheet name="Summary Statistics" sheetId="3" r:id="rId4"/>
    <sheet name="Resource SD Matrix" sheetId="2" r:id="rId5"/>
    <sheet name="RECOMENDATION RESOURCE" sheetId="9" r:id="rId6"/>
    <sheet name="recomendation IT" sheetId="8" r:id="rId7"/>
    <sheet name="Notes" sheetId="6" r:id="rId8"/>
  </sheets>
  <definedNames>
    <definedName name="_xlnm._FilterDatabase" localSheetId="3" hidden="1">'Summary Statistics'!$C$1:$H$881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8" l="1"/>
  <c r="AD3" i="9"/>
  <c r="AD4" i="9"/>
  <c r="AD5" i="9"/>
  <c r="AD6" i="9"/>
  <c r="AD7" i="9"/>
  <c r="AD8" i="9"/>
  <c r="AD9" i="9"/>
  <c r="AD10" i="9"/>
  <c r="AD11" i="9"/>
  <c r="AD12" i="9"/>
  <c r="AD2" i="9"/>
  <c r="AC3" i="9"/>
  <c r="AC4" i="9"/>
  <c r="AC5" i="9"/>
  <c r="AC6" i="9"/>
  <c r="AC7" i="9"/>
  <c r="AC8" i="9"/>
  <c r="AC9" i="9"/>
  <c r="AC10" i="9"/>
  <c r="AC11" i="9"/>
  <c r="AC12" i="9"/>
  <c r="AB3" i="9"/>
  <c r="AB4" i="9"/>
  <c r="AB5" i="9"/>
  <c r="AB6" i="9"/>
  <c r="AB7" i="9"/>
  <c r="AB8" i="9"/>
  <c r="AB9" i="9"/>
  <c r="AB10" i="9"/>
  <c r="AB11" i="9"/>
  <c r="AB12" i="9"/>
  <c r="AA3" i="9"/>
  <c r="AA4" i="9"/>
  <c r="AA5" i="9"/>
  <c r="AA6" i="9"/>
  <c r="AA7" i="9"/>
  <c r="AA8" i="9"/>
  <c r="AA9" i="9"/>
  <c r="AA10" i="9"/>
  <c r="AA11" i="9"/>
  <c r="AA12" i="9"/>
  <c r="Z3" i="9"/>
  <c r="Z4" i="9"/>
  <c r="Z5" i="9"/>
  <c r="Z6" i="9"/>
  <c r="Z7" i="9"/>
  <c r="Z8" i="9"/>
  <c r="Z9" i="9"/>
  <c r="Z10" i="9"/>
  <c r="Z11" i="9"/>
  <c r="Z12" i="9"/>
  <c r="AC2" i="9"/>
  <c r="AB2" i="9"/>
  <c r="AA2" i="9"/>
  <c r="Z2" i="9"/>
  <c r="Y3" i="9"/>
  <c r="Y4" i="9"/>
  <c r="Y5" i="9"/>
  <c r="Y6" i="9"/>
  <c r="Y7" i="9"/>
  <c r="Y8" i="9"/>
  <c r="Y9" i="9"/>
  <c r="Y10" i="9"/>
  <c r="Y11" i="9"/>
  <c r="Y12" i="9"/>
  <c r="X3" i="9"/>
  <c r="X4" i="9"/>
  <c r="X5" i="9"/>
  <c r="X6" i="9"/>
  <c r="X7" i="9"/>
  <c r="X8" i="9"/>
  <c r="X9" i="9"/>
  <c r="X10" i="9"/>
  <c r="X11" i="9"/>
  <c r="X12" i="9"/>
  <c r="W3" i="9"/>
  <c r="W4" i="9"/>
  <c r="W5" i="9"/>
  <c r="W6" i="9"/>
  <c r="W7" i="9"/>
  <c r="W8" i="9"/>
  <c r="W9" i="9"/>
  <c r="W10" i="9"/>
  <c r="W11" i="9"/>
  <c r="W12" i="9"/>
  <c r="V3" i="9"/>
  <c r="V4" i="9"/>
  <c r="V5" i="9"/>
  <c r="V6" i="9"/>
  <c r="V7" i="9"/>
  <c r="V8" i="9"/>
  <c r="V9" i="9"/>
  <c r="V10" i="9"/>
  <c r="V11" i="9"/>
  <c r="V12" i="9"/>
  <c r="Y2" i="9"/>
  <c r="X2" i="9"/>
  <c r="W2" i="9"/>
  <c r="V2" i="9"/>
  <c r="U3" i="9"/>
  <c r="U4" i="9"/>
  <c r="U5" i="9"/>
  <c r="U6" i="9"/>
  <c r="U7" i="9"/>
  <c r="U8" i="9"/>
  <c r="U9" i="9"/>
  <c r="U10" i="9"/>
  <c r="U11" i="9"/>
  <c r="U12" i="9"/>
  <c r="T3" i="9"/>
  <c r="T4" i="9"/>
  <c r="T5" i="9"/>
  <c r="T6" i="9"/>
  <c r="T7" i="9"/>
  <c r="T8" i="9"/>
  <c r="T9" i="9"/>
  <c r="T10" i="9"/>
  <c r="T11" i="9"/>
  <c r="T12" i="9"/>
  <c r="S3" i="9"/>
  <c r="S4" i="9"/>
  <c r="S5" i="9"/>
  <c r="S6" i="9"/>
  <c r="S7" i="9"/>
  <c r="S8" i="9"/>
  <c r="S9" i="9"/>
  <c r="S10" i="9"/>
  <c r="S11" i="9"/>
  <c r="S12" i="9"/>
  <c r="R3" i="9"/>
  <c r="R4" i="9"/>
  <c r="R5" i="9"/>
  <c r="R6" i="9"/>
  <c r="R7" i="9"/>
  <c r="R8" i="9"/>
  <c r="R9" i="9"/>
  <c r="R10" i="9"/>
  <c r="R11" i="9"/>
  <c r="R12" i="9"/>
  <c r="U2" i="9"/>
  <c r="T2" i="9"/>
  <c r="S2" i="9"/>
  <c r="R2" i="9"/>
  <c r="Q3" i="9"/>
  <c r="Q4" i="9"/>
  <c r="Q5" i="9"/>
  <c r="Q6" i="9"/>
  <c r="Q7" i="9"/>
  <c r="Q8" i="9"/>
  <c r="Q9" i="9"/>
  <c r="Q10" i="9"/>
  <c r="Q11" i="9"/>
  <c r="Q12" i="9"/>
  <c r="P3" i="9"/>
  <c r="P4" i="9"/>
  <c r="P5" i="9"/>
  <c r="P6" i="9"/>
  <c r="P7" i="9"/>
  <c r="P8" i="9"/>
  <c r="P9" i="9"/>
  <c r="P10" i="9"/>
  <c r="P11" i="9"/>
  <c r="P12" i="9"/>
  <c r="O3" i="9"/>
  <c r="O4" i="9"/>
  <c r="O5" i="9"/>
  <c r="O6" i="9"/>
  <c r="O7" i="9"/>
  <c r="O8" i="9"/>
  <c r="O9" i="9"/>
  <c r="O10" i="9"/>
  <c r="O11" i="9"/>
  <c r="O12" i="9"/>
  <c r="N3" i="9"/>
  <c r="N4" i="9"/>
  <c r="N5" i="9"/>
  <c r="N6" i="9"/>
  <c r="N7" i="9"/>
  <c r="N8" i="9"/>
  <c r="N9" i="9"/>
  <c r="N10" i="9"/>
  <c r="N11" i="9"/>
  <c r="N12" i="9"/>
  <c r="Q2" i="9"/>
  <c r="P2" i="9"/>
  <c r="O2" i="9"/>
  <c r="N2" i="9"/>
  <c r="G2" i="8"/>
  <c r="K2" i="8"/>
  <c r="J2" i="8"/>
  <c r="L3" i="8"/>
  <c r="L4" i="8"/>
  <c r="L5" i="8"/>
  <c r="L6" i="8"/>
  <c r="L7" i="8"/>
  <c r="L8" i="8"/>
  <c r="L9" i="8"/>
  <c r="L10" i="8"/>
  <c r="L11" i="8"/>
  <c r="L12" i="8"/>
  <c r="K3" i="8"/>
  <c r="K4" i="8"/>
  <c r="K5" i="8"/>
  <c r="K6" i="8"/>
  <c r="K7" i="8"/>
  <c r="K8" i="8"/>
  <c r="K9" i="8"/>
  <c r="K10" i="8"/>
  <c r="K11" i="8"/>
  <c r="K12" i="8"/>
  <c r="J3" i="8"/>
  <c r="J4" i="8"/>
  <c r="J5" i="8"/>
  <c r="J6" i="8"/>
  <c r="J7" i="8"/>
  <c r="J8" i="8"/>
  <c r="J9" i="8"/>
  <c r="J10" i="8"/>
  <c r="J11" i="8"/>
  <c r="J12" i="8"/>
  <c r="I3" i="8"/>
  <c r="I4" i="8"/>
  <c r="I5" i="8"/>
  <c r="I6" i="8"/>
  <c r="I7" i="8"/>
  <c r="I8" i="8"/>
  <c r="I9" i="8"/>
  <c r="I10" i="8"/>
  <c r="I11" i="8"/>
  <c r="I12" i="8"/>
  <c r="I2" i="8"/>
  <c r="H3" i="8"/>
  <c r="H4" i="8"/>
  <c r="H5" i="8"/>
  <c r="H6" i="8"/>
  <c r="H7" i="8"/>
  <c r="H8" i="8"/>
  <c r="H9" i="8"/>
  <c r="H10" i="8"/>
  <c r="H11" i="8"/>
  <c r="H12" i="8"/>
  <c r="H2" i="8"/>
  <c r="G3" i="8"/>
  <c r="G4" i="8"/>
  <c r="G5" i="8"/>
  <c r="G6" i="8"/>
  <c r="G7" i="8"/>
  <c r="G8" i="8"/>
  <c r="G9" i="8"/>
  <c r="G10" i="8"/>
  <c r="G11" i="8"/>
  <c r="G12" i="8"/>
  <c r="F2" i="8"/>
  <c r="F3" i="8"/>
  <c r="F4" i="8"/>
  <c r="F5" i="8"/>
  <c r="F6" i="8"/>
  <c r="F7" i="8"/>
  <c r="F8" i="8"/>
  <c r="F9" i="8"/>
  <c r="F10" i="8"/>
  <c r="F11" i="8"/>
  <c r="F12" i="8"/>
</calcChain>
</file>

<file path=xl/sharedStrings.xml><?xml version="1.0" encoding="utf-8"?>
<sst xmlns="http://schemas.openxmlformats.org/spreadsheetml/2006/main" count="4994" uniqueCount="658">
  <si>
    <t>Resource Metric</t>
  </si>
  <si>
    <t>Unit</t>
  </si>
  <si>
    <t>WildDeepfake</t>
  </si>
  <si>
    <t>Celeb-DF(V2)</t>
  </si>
  <si>
    <t>DFC</t>
  </si>
  <si>
    <t>FF++</t>
  </si>
  <si>
    <t>Elapsed time</t>
  </si>
  <si>
    <t>s</t>
  </si>
  <si>
    <t>Latency per image</t>
  </si>
  <si>
    <t>ms/image</t>
  </si>
  <si>
    <t>Throughput</t>
  </si>
  <si>
    <t>images/s</t>
  </si>
  <si>
    <t>Average CPU utilization</t>
  </si>
  <si>
    <t>%</t>
  </si>
  <si>
    <t>Peak CPU utilization</t>
  </si>
  <si>
    <t>Baseline RAM</t>
  </si>
  <si>
    <t>MB</t>
  </si>
  <si>
    <t>Average RAM</t>
  </si>
  <si>
    <t>Peak RAM</t>
  </si>
  <si>
    <t>Average incremental RAM</t>
  </si>
  <si>
    <t>Peak incremental RAM</t>
  </si>
  <si>
    <t>Baseline GPU memory</t>
  </si>
  <si>
    <t>Average GPU memory</t>
  </si>
  <si>
    <t>Peak GPU memory</t>
  </si>
  <si>
    <t>Average incremental GPU memory</t>
  </si>
  <si>
    <t>Peak incremental GPU memory</t>
  </si>
  <si>
    <t>Average GPU utilization</t>
  </si>
  <si>
    <t>Peak GPU utilization</t>
  </si>
  <si>
    <t>Average GPU power</t>
  </si>
  <si>
    <t>W</t>
  </si>
  <si>
    <t>Peak GPU power</t>
  </si>
  <si>
    <t>GPU energy</t>
  </si>
  <si>
    <t>Wh</t>
  </si>
  <si>
    <t>Metric</t>
  </si>
  <si>
    <t>Mean</t>
  </si>
  <si>
    <t>SD</t>
  </si>
  <si>
    <t>95% CI Lower</t>
  </si>
  <si>
    <t>95% CI Upper</t>
  </si>
  <si>
    <t>Run</t>
  </si>
  <si>
    <t>Elapsed Time (s)</t>
  </si>
  <si>
    <t>Latency (ms/image)</t>
  </si>
  <si>
    <t>Throughput (images/s)</t>
  </si>
  <si>
    <t>Peak RAM (MB)</t>
  </si>
  <si>
    <t>Peak GPU Memory (MB)</t>
  </si>
  <si>
    <t>Avg GPU Utilization (%)</t>
  </si>
  <si>
    <t>Avg GPU Power (W)</t>
  </si>
  <si>
    <t>GPU Energy (Wh)</t>
  </si>
  <si>
    <t>Item</t>
  </si>
  <si>
    <t>Details</t>
  </si>
  <si>
    <t>Important</t>
  </si>
  <si>
    <t>This repaired workbook contains NO Excel formulas. All calculated statistics are stored as fixed numeric values.</t>
  </si>
  <si>
    <t>Source</t>
  </si>
  <si>
    <t>Values were extracted from the saved resource-profiling outputs in the uploaded Xception notebook.</t>
  </si>
  <si>
    <t>Runs</t>
  </si>
  <si>
    <t>Summary</t>
  </si>
  <si>
    <t>Mean, sample standard deviation, and 95% confidence intervals were calculated in Python before writing the workbook.</t>
  </si>
  <si>
    <t>95% CI</t>
  </si>
  <si>
    <t>Two-sided t interval with n=5, df=4, t=2.776445105.</t>
  </si>
  <si>
    <t>Compatibility</t>
  </si>
  <si>
    <t>Because all cells contain ordinary numeric/text values rather than formulas, the workbook should open consistently in Excel and other spreadsheet applications.</t>
  </si>
  <si>
    <t>Dataset</t>
    <phoneticPr fontId="4" type="noConversion"/>
  </si>
  <si>
    <t>Model</t>
    <phoneticPr fontId="4" type="noConversion"/>
  </si>
  <si>
    <t xml:space="preserve">Xception </t>
    <phoneticPr fontId="4" type="noConversion"/>
  </si>
  <si>
    <t>ResNet-50</t>
    <phoneticPr fontId="4" type="noConversion"/>
  </si>
  <si>
    <t xml:space="preserve"> Resource Matrix — Mean Across 5 Runs</t>
    <phoneticPr fontId="4" type="noConversion"/>
  </si>
  <si>
    <t>Xception</t>
    <phoneticPr fontId="4" type="noConversion"/>
  </si>
  <si>
    <t xml:space="preserve"> Resource Matrix — Standard Deviation Across 5 Runs</t>
    <phoneticPr fontId="4" type="noConversion"/>
  </si>
  <si>
    <t>WildDeepfake</t>
    <phoneticPr fontId="4" type="noConversion"/>
  </si>
  <si>
    <t>InceptionV3</t>
    <phoneticPr fontId="4" type="noConversion"/>
  </si>
  <si>
    <t>Meso</t>
    <phoneticPr fontId="4" type="noConversion"/>
  </si>
  <si>
    <t>Efficent B0</t>
    <phoneticPr fontId="4" type="noConversion"/>
  </si>
  <si>
    <t>EfficientNetB0</t>
    <phoneticPr fontId="4" type="noConversion"/>
  </si>
  <si>
    <t>Efficient netB0</t>
    <phoneticPr fontId="4" type="noConversion"/>
  </si>
  <si>
    <t>ViT16</t>
    <phoneticPr fontId="4" type="noConversion"/>
  </si>
  <si>
    <t xml:space="preserve"> ViT16</t>
    <phoneticPr fontId="4" type="noConversion"/>
  </si>
  <si>
    <t>VIt16</t>
    <phoneticPr fontId="4" type="noConversion"/>
  </si>
  <si>
    <t>ViT32</t>
    <phoneticPr fontId="4" type="noConversion"/>
  </si>
  <si>
    <t xml:space="preserve"> ViT32</t>
    <phoneticPr fontId="4" type="noConversion"/>
  </si>
  <si>
    <t>VIt32</t>
    <phoneticPr fontId="4" type="noConversion"/>
  </si>
  <si>
    <t>CrossViT</t>
    <phoneticPr fontId="4" type="noConversion"/>
  </si>
  <si>
    <t>SwinV2</t>
    <phoneticPr fontId="4" type="noConversion"/>
  </si>
  <si>
    <t>MaxVit</t>
    <phoneticPr fontId="4" type="noConversion"/>
  </si>
  <si>
    <t>MaxViT</t>
    <phoneticPr fontId="4" type="noConversion"/>
  </si>
  <si>
    <t>MaXViT</t>
    <phoneticPr fontId="4" type="noConversion"/>
  </si>
  <si>
    <t>DiNov2</t>
    <phoneticPr fontId="4" type="noConversion"/>
  </si>
  <si>
    <t>DinoV2</t>
    <phoneticPr fontId="4" type="noConversion"/>
  </si>
  <si>
    <t>5 runs per model; 11 models; 220 total runs.</t>
    <phoneticPr fontId="4" type="noConversion"/>
  </si>
  <si>
    <t>Celeb-DF(V3)</t>
  </si>
  <si>
    <t>Celeb-DF(V4)</t>
  </si>
  <si>
    <t>Celeb-DF(V5)</t>
  </si>
  <si>
    <t>Celeb-DF(V6)</t>
  </si>
  <si>
    <t>Celeb-DF(V7)</t>
  </si>
  <si>
    <t>Celeb-DF(V8)</t>
  </si>
  <si>
    <t>Celeb-DF(V9)</t>
  </si>
  <si>
    <t>Celeb-DF(V10)</t>
  </si>
  <si>
    <t>Celeb-DF(V11)</t>
  </si>
  <si>
    <t>Celeb-DF(V12)</t>
  </si>
  <si>
    <t>Celeb-DF(V13)</t>
  </si>
  <si>
    <t>Celeb-DF(V14)</t>
  </si>
  <si>
    <t>Celeb-DF(V15)</t>
  </si>
  <si>
    <t>Celeb-DF(V16)</t>
  </si>
  <si>
    <t>Celeb-DF(V17)</t>
  </si>
  <si>
    <t>Celeb-DF(V18)</t>
  </si>
  <si>
    <t>Celeb-DF(V19)</t>
  </si>
  <si>
    <t>Celeb-DF(V20)</t>
  </si>
  <si>
    <t>Celeb-DF(V21)</t>
  </si>
  <si>
    <t>Resnet-50</t>
    <phoneticPr fontId="4" type="noConversion"/>
  </si>
  <si>
    <t>Xception</t>
  </si>
  <si>
    <t>VIT16</t>
    <phoneticPr fontId="4" type="noConversion"/>
  </si>
  <si>
    <t>VIT32</t>
    <phoneticPr fontId="4" type="noConversion"/>
  </si>
  <si>
    <t>Mo0del</t>
    <phoneticPr fontId="4" type="noConversion"/>
  </si>
  <si>
    <t>Avg IT</t>
    <phoneticPr fontId="4" type="noConversion"/>
  </si>
  <si>
    <t>Norm DFC</t>
    <phoneticPr fontId="4" type="noConversion"/>
  </si>
  <si>
    <t>Norm Celeb</t>
    <phoneticPr fontId="4" type="noConversion"/>
  </si>
  <si>
    <t>Norm ff</t>
    <phoneticPr fontId="4" type="noConversion"/>
  </si>
  <si>
    <t>Norm wild</t>
    <phoneticPr fontId="4" type="noConversion"/>
  </si>
  <si>
    <t>K Time Efficiency</t>
    <phoneticPr fontId="4" type="noConversion"/>
  </si>
  <si>
    <t>Time Efficiency Grade</t>
  </si>
  <si>
    <t>Score</t>
  </si>
  <si>
    <t>Normalized IT Score</t>
  </si>
  <si>
    <t>Excellent</t>
  </si>
  <si>
    <t>≥ 90</t>
  </si>
  <si>
    <t>Good</t>
  </si>
  <si>
    <t>≥ 70 and &lt; 90</t>
  </si>
  <si>
    <t>Fair</t>
  </si>
  <si>
    <t>≥ 50 and &lt; 70</t>
  </si>
  <si>
    <t>Poor</t>
  </si>
  <si>
    <t>≥ 30 and &lt; 50</t>
  </si>
  <si>
    <t>Very Poor</t>
  </si>
  <si>
    <t>&lt; 30</t>
  </si>
  <si>
    <t>Score</t>
    <phoneticPr fontId="4" type="noConversion"/>
  </si>
  <si>
    <t>Average CPU utilization</t>
    <phoneticPr fontId="4" type="noConversion"/>
  </si>
  <si>
    <t>DinoV3</t>
  </si>
  <si>
    <t>DinoV4</t>
  </si>
  <si>
    <t>DinoV5</t>
  </si>
  <si>
    <t>DinoV6</t>
  </si>
  <si>
    <t>DinoV7</t>
  </si>
  <si>
    <t>DinoV8</t>
  </si>
  <si>
    <t>DinoV9</t>
  </si>
  <si>
    <t>DinoV10</t>
  </si>
  <si>
    <t>DinoV11</t>
  </si>
  <si>
    <t>DinoV12</t>
  </si>
  <si>
    <t>DinoV13</t>
  </si>
  <si>
    <t>DinoV14</t>
  </si>
  <si>
    <t>DinoV15</t>
  </si>
  <si>
    <t>DinoV16</t>
  </si>
  <si>
    <t>DinoV17</t>
  </si>
  <si>
    <t>DinoV18</t>
  </si>
  <si>
    <t>DinoV19</t>
  </si>
  <si>
    <t>DinoV20</t>
  </si>
  <si>
    <t>DinoV21</t>
  </si>
  <si>
    <t>DinoV22</t>
  </si>
  <si>
    <t>DinoV23</t>
  </si>
  <si>
    <t>DinoV24</t>
  </si>
  <si>
    <t>DinoV25</t>
  </si>
  <si>
    <t>DinoV26</t>
  </si>
  <si>
    <t>DinoV27</t>
  </si>
  <si>
    <t>DinoV28</t>
  </si>
  <si>
    <t>DinoV29</t>
  </si>
  <si>
    <t>DinoV30</t>
  </si>
  <si>
    <t>DinoV31</t>
  </si>
  <si>
    <t>DinoV32</t>
  </si>
  <si>
    <t>DinoV33</t>
  </si>
  <si>
    <t>DinoV34</t>
  </si>
  <si>
    <t>DinoV35</t>
  </si>
  <si>
    <t>DinoV36</t>
  </si>
  <si>
    <t>DinoV37</t>
  </si>
  <si>
    <t>DinoV38</t>
  </si>
  <si>
    <t>DinoV39</t>
  </si>
  <si>
    <t>DinoV40</t>
  </si>
  <si>
    <t>DinoV41</t>
  </si>
  <si>
    <t>DinoV42</t>
  </si>
  <si>
    <t>DinoV43</t>
  </si>
  <si>
    <t>DinoV44</t>
  </si>
  <si>
    <t>DinoV45</t>
  </si>
  <si>
    <t>DinoV46</t>
  </si>
  <si>
    <t>DinoV47</t>
  </si>
  <si>
    <t>DinoV48</t>
  </si>
  <si>
    <t>DinoV49</t>
  </si>
  <si>
    <t>DinoV50</t>
  </si>
  <si>
    <t>DinoV51</t>
  </si>
  <si>
    <t>DinoV52</t>
  </si>
  <si>
    <t>DinoV53</t>
  </si>
  <si>
    <t>DinoV54</t>
  </si>
  <si>
    <t>DinoV55</t>
  </si>
  <si>
    <t>DinoV56</t>
  </si>
  <si>
    <t>DinoV57</t>
  </si>
  <si>
    <t>DinoV58</t>
  </si>
  <si>
    <t>DinoV59</t>
  </si>
  <si>
    <t>DinoV60</t>
  </si>
  <si>
    <t>DinoV61</t>
  </si>
  <si>
    <t>DinoV62</t>
  </si>
  <si>
    <t>DinoV63</t>
  </si>
  <si>
    <t>DinoV64</t>
  </si>
  <si>
    <t>DinoV65</t>
  </si>
  <si>
    <t>DinoV66</t>
  </si>
  <si>
    <t>DinoV67</t>
  </si>
  <si>
    <t>DinoV68</t>
  </si>
  <si>
    <t>DinoV69</t>
  </si>
  <si>
    <t>DinoV70</t>
  </si>
  <si>
    <t>DinoV71</t>
  </si>
  <si>
    <t>DinoV72</t>
  </si>
  <si>
    <t>DinoV73</t>
  </si>
  <si>
    <t>DinoV74</t>
  </si>
  <si>
    <t>DinoV75</t>
  </si>
  <si>
    <t>DinoV76</t>
  </si>
  <si>
    <t>DinoV77</t>
  </si>
  <si>
    <t>DinoV78</t>
  </si>
  <si>
    <t>DinoV79</t>
  </si>
  <si>
    <t>DinoV80</t>
  </si>
  <si>
    <t>DinoV81</t>
  </si>
  <si>
    <t>SwinV3</t>
  </si>
  <si>
    <t>SwinV4</t>
  </si>
  <si>
    <t>SwinV5</t>
  </si>
  <si>
    <t>SwinV6</t>
  </si>
  <si>
    <t>SwinV7</t>
  </si>
  <si>
    <t>SwinV8</t>
  </si>
  <si>
    <t>SwinV9</t>
  </si>
  <si>
    <t>SwinV10</t>
  </si>
  <si>
    <t>SwinV11</t>
  </si>
  <si>
    <t>SwinV12</t>
  </si>
  <si>
    <t>SwinV13</t>
  </si>
  <si>
    <t>SwinV14</t>
  </si>
  <si>
    <t>SwinV15</t>
  </si>
  <si>
    <t>SwinV16</t>
  </si>
  <si>
    <t>SwinV17</t>
  </si>
  <si>
    <t>SwinV18</t>
  </si>
  <si>
    <t>SwinV19</t>
  </si>
  <si>
    <t>SwinV20</t>
  </si>
  <si>
    <t>SwinV21</t>
  </si>
  <si>
    <t>SwinV22</t>
  </si>
  <si>
    <t>SwinV23</t>
  </si>
  <si>
    <t>SwinV24</t>
  </si>
  <si>
    <t>SwinV25</t>
  </si>
  <si>
    <t>SwinV26</t>
  </si>
  <si>
    <t>SwinV27</t>
  </si>
  <si>
    <t>SwinV28</t>
  </si>
  <si>
    <t>SwinV29</t>
  </si>
  <si>
    <t>SwinV30</t>
  </si>
  <si>
    <t>SwinV31</t>
  </si>
  <si>
    <t>SwinV32</t>
  </si>
  <si>
    <t>SwinV33</t>
  </si>
  <si>
    <t>SwinV34</t>
  </si>
  <si>
    <t>SwinV35</t>
  </si>
  <si>
    <t>SwinV36</t>
  </si>
  <si>
    <t>SwinV37</t>
  </si>
  <si>
    <t>SwinV38</t>
  </si>
  <si>
    <t>SwinV39</t>
  </si>
  <si>
    <t>SwinV40</t>
  </si>
  <si>
    <t>SwinV41</t>
  </si>
  <si>
    <t>SwinV42</t>
  </si>
  <si>
    <t>SwinV43</t>
  </si>
  <si>
    <t>SwinV44</t>
  </si>
  <si>
    <t>SwinV45</t>
  </si>
  <si>
    <t>SwinV46</t>
  </si>
  <si>
    <t>SwinV47</t>
  </si>
  <si>
    <t>SwinV48</t>
  </si>
  <si>
    <t>SwinV49</t>
  </si>
  <si>
    <t>SwinV50</t>
  </si>
  <si>
    <t>SwinV51</t>
  </si>
  <si>
    <t>SwinV52</t>
  </si>
  <si>
    <t>SwinV53</t>
  </si>
  <si>
    <t>SwinV54</t>
  </si>
  <si>
    <t>SwinV55</t>
  </si>
  <si>
    <t>SwinV56</t>
  </si>
  <si>
    <t>SwinV57</t>
  </si>
  <si>
    <t>SwinV58</t>
  </si>
  <si>
    <t>SwinV59</t>
  </si>
  <si>
    <t>SwinV60</t>
  </si>
  <si>
    <t>SwinV61</t>
  </si>
  <si>
    <t>SwinV62</t>
  </si>
  <si>
    <t>SwinV63</t>
  </si>
  <si>
    <t>SwinV64</t>
  </si>
  <si>
    <t>SwinV65</t>
  </si>
  <si>
    <t>SwinV66</t>
  </si>
  <si>
    <t>SwinV67</t>
  </si>
  <si>
    <t>SwinV68</t>
  </si>
  <si>
    <t>SwinV69</t>
  </si>
  <si>
    <t>SwinV70</t>
  </si>
  <si>
    <t>SwinV71</t>
  </si>
  <si>
    <t>SwinV72</t>
  </si>
  <si>
    <t>SwinV73</t>
  </si>
  <si>
    <t>SwinV74</t>
  </si>
  <si>
    <t>SwinV75</t>
  </si>
  <si>
    <t>SwinV76</t>
  </si>
  <si>
    <t>SwinV77</t>
  </si>
  <si>
    <t>SwinV78</t>
  </si>
  <si>
    <t>SwinV79</t>
  </si>
  <si>
    <t>SwinV80</t>
  </si>
  <si>
    <t>SwinV81</t>
  </si>
  <si>
    <t>ViT33</t>
  </si>
  <si>
    <t>ViT34</t>
  </si>
  <si>
    <t>ViT35</t>
  </si>
  <si>
    <t>ViT36</t>
  </si>
  <si>
    <t>ViT37</t>
  </si>
  <si>
    <t>ViT38</t>
  </si>
  <si>
    <t>ViT39</t>
  </si>
  <si>
    <t>ViT40</t>
  </si>
  <si>
    <t>ViT41</t>
  </si>
  <si>
    <t>ViT42</t>
  </si>
  <si>
    <t>ViT43</t>
  </si>
  <si>
    <t>ViT44</t>
  </si>
  <si>
    <t>ViT45</t>
  </si>
  <si>
    <t>ViT46</t>
  </si>
  <si>
    <t>ViT47</t>
  </si>
  <si>
    <t>ViT48</t>
  </si>
  <si>
    <t>ViT49</t>
  </si>
  <si>
    <t>ViT50</t>
  </si>
  <si>
    <t>ViT51</t>
  </si>
  <si>
    <t>ViT52</t>
  </si>
  <si>
    <t>ViT53</t>
  </si>
  <si>
    <t>ViT54</t>
  </si>
  <si>
    <t>ViT55</t>
  </si>
  <si>
    <t>ViT56</t>
  </si>
  <si>
    <t>ViT57</t>
  </si>
  <si>
    <t>ViT58</t>
  </si>
  <si>
    <t>ViT59</t>
  </si>
  <si>
    <t>ViT60</t>
  </si>
  <si>
    <t>ViT61</t>
  </si>
  <si>
    <t>ViT62</t>
  </si>
  <si>
    <t>ViT63</t>
  </si>
  <si>
    <t>ViT64</t>
  </si>
  <si>
    <t>ViT65</t>
  </si>
  <si>
    <t>ViT66</t>
  </si>
  <si>
    <t>ViT67</t>
  </si>
  <si>
    <t>ViT68</t>
  </si>
  <si>
    <t>ViT69</t>
  </si>
  <si>
    <t>ViT70</t>
  </si>
  <si>
    <t>ViT71</t>
  </si>
  <si>
    <t>ViT72</t>
  </si>
  <si>
    <t>ViT73</t>
  </si>
  <si>
    <t>ViT74</t>
  </si>
  <si>
    <t>ViT75</t>
  </si>
  <si>
    <t>ViT76</t>
  </si>
  <si>
    <t>ViT77</t>
  </si>
  <si>
    <t>ViT78</t>
  </si>
  <si>
    <t>ViT79</t>
  </si>
  <si>
    <t>ViT80</t>
  </si>
  <si>
    <t>ViT81</t>
  </si>
  <si>
    <t>ViT82</t>
  </si>
  <si>
    <t>ViT83</t>
  </si>
  <si>
    <t>ViT84</t>
  </si>
  <si>
    <t>ViT85</t>
  </si>
  <si>
    <t>ViT86</t>
  </si>
  <si>
    <t>ViT87</t>
  </si>
  <si>
    <t>ViT88</t>
  </si>
  <si>
    <t>ViT89</t>
  </si>
  <si>
    <t>ViT90</t>
  </si>
  <si>
    <t>ViT91</t>
  </si>
  <si>
    <t>ViT92</t>
  </si>
  <si>
    <t>ViT93</t>
  </si>
  <si>
    <t>ViT94</t>
  </si>
  <si>
    <t>ViT95</t>
  </si>
  <si>
    <t>ViT96</t>
  </si>
  <si>
    <t>ViT97</t>
  </si>
  <si>
    <t>ViT98</t>
  </si>
  <si>
    <t>ViT99</t>
  </si>
  <si>
    <t>ViT100</t>
  </si>
  <si>
    <t>ViT101</t>
  </si>
  <si>
    <t>ViT102</t>
  </si>
  <si>
    <t>ViT103</t>
  </si>
  <si>
    <t>ViT104</t>
  </si>
  <si>
    <t>ViT105</t>
  </si>
  <si>
    <t>ViT106</t>
  </si>
  <si>
    <t>ViT107</t>
  </si>
  <si>
    <t>ViT108</t>
  </si>
  <si>
    <t>ViT109</t>
  </si>
  <si>
    <t>ViT110</t>
  </si>
  <si>
    <t>ViT111</t>
  </si>
  <si>
    <t>ViT17</t>
  </si>
  <si>
    <t>ViT18</t>
  </si>
  <si>
    <t>ViT19</t>
  </si>
  <si>
    <t>ViT20</t>
  </si>
  <si>
    <t>ViT21</t>
  </si>
  <si>
    <t>ViT22</t>
  </si>
  <si>
    <t>ViT23</t>
  </si>
  <si>
    <t>ViT24</t>
  </si>
  <si>
    <t>ViT25</t>
  </si>
  <si>
    <t>ViT26</t>
  </si>
  <si>
    <t>ViT27</t>
  </si>
  <si>
    <t>ViT28</t>
  </si>
  <si>
    <t>ViT29</t>
  </si>
  <si>
    <t>ViT30</t>
  </si>
  <si>
    <t>ViT31</t>
  </si>
  <si>
    <t>ViT32</t>
  </si>
  <si>
    <t>EfficientNetB1</t>
  </si>
  <si>
    <t>EfficientNetB2</t>
  </si>
  <si>
    <t>EfficientNetB3</t>
  </si>
  <si>
    <t>EfficientNetB4</t>
  </si>
  <si>
    <t>EfficientNetB5</t>
  </si>
  <si>
    <t>EfficientNetB6</t>
  </si>
  <si>
    <t>EfficientNetB7</t>
  </si>
  <si>
    <t>EfficientNetB8</t>
  </si>
  <si>
    <t>EfficientNetB9</t>
  </si>
  <si>
    <t>EfficientNetB10</t>
  </si>
  <si>
    <t>EfficientNetB11</t>
  </si>
  <si>
    <t>EfficientNetB12</t>
  </si>
  <si>
    <t>EfficientNetB13</t>
  </si>
  <si>
    <t>EfficientNetB14</t>
  </si>
  <si>
    <t>EfficientNetB15</t>
  </si>
  <si>
    <t>EfficientNetB16</t>
  </si>
  <si>
    <t>EfficientNetB17</t>
  </si>
  <si>
    <t>EfficientNetB18</t>
  </si>
  <si>
    <t>EfficientNetB19</t>
  </si>
  <si>
    <t>EfficientNetB20</t>
  </si>
  <si>
    <t>EfficientNetB21</t>
  </si>
  <si>
    <t>EfficientNetB22</t>
  </si>
  <si>
    <t>EfficientNetB23</t>
  </si>
  <si>
    <t>EfficientNetB24</t>
  </si>
  <si>
    <t>EfficientNetB25</t>
  </si>
  <si>
    <t>EfficientNetB26</t>
  </si>
  <si>
    <t>EfficientNetB27</t>
  </si>
  <si>
    <t>EfficientNetB28</t>
  </si>
  <si>
    <t>EfficientNetB29</t>
  </si>
  <si>
    <t>EfficientNetB30</t>
  </si>
  <si>
    <t>EfficientNetB31</t>
  </si>
  <si>
    <t>EfficientNetB32</t>
  </si>
  <si>
    <t>EfficientNetB33</t>
  </si>
  <si>
    <t>EfficientNetB34</t>
  </si>
  <si>
    <t>EfficientNetB35</t>
  </si>
  <si>
    <t>EfficientNetB36</t>
  </si>
  <si>
    <t>EfficientNetB37</t>
  </si>
  <si>
    <t>EfficientNetB38</t>
  </si>
  <si>
    <t>EfficientNetB39</t>
  </si>
  <si>
    <t>EfficientNetB40</t>
  </si>
  <si>
    <t>EfficientNetB41</t>
  </si>
  <si>
    <t>EfficientNetB42</t>
  </si>
  <si>
    <t>EfficientNetB43</t>
  </si>
  <si>
    <t>EfficientNetB44</t>
  </si>
  <si>
    <t>EfficientNetB45</t>
  </si>
  <si>
    <t>EfficientNetB46</t>
  </si>
  <si>
    <t>EfficientNetB47</t>
  </si>
  <si>
    <t>EfficientNetB48</t>
  </si>
  <si>
    <t>EfficientNetB49</t>
  </si>
  <si>
    <t>EfficientNetB50</t>
  </si>
  <si>
    <t>EfficientNetB51</t>
  </si>
  <si>
    <t>EfficientNetB52</t>
  </si>
  <si>
    <t>EfficientNetB53</t>
  </si>
  <si>
    <t>EfficientNetB54</t>
  </si>
  <si>
    <t>EfficientNetB55</t>
  </si>
  <si>
    <t>EfficientNetB56</t>
  </si>
  <si>
    <t>EfficientNetB57</t>
  </si>
  <si>
    <t>EfficientNetB58</t>
  </si>
  <si>
    <t>EfficientNetB59</t>
  </si>
  <si>
    <t>EfficientNetB60</t>
  </si>
  <si>
    <t>EfficientNetB61</t>
  </si>
  <si>
    <t>EfficientNetB62</t>
  </si>
  <si>
    <t>EfficientNetB63</t>
  </si>
  <si>
    <t>EfficientNetB64</t>
  </si>
  <si>
    <t>EfficientNetB65</t>
  </si>
  <si>
    <t>EfficientNetB66</t>
  </si>
  <si>
    <t>EfficientNetB67</t>
  </si>
  <si>
    <t>EfficientNetB68</t>
  </si>
  <si>
    <t>EfficientNetB69</t>
  </si>
  <si>
    <t>EfficientNetB70</t>
  </si>
  <si>
    <t>EfficientNetB71</t>
  </si>
  <si>
    <t>EfficientNetB72</t>
  </si>
  <si>
    <t>EfficientNetB73</t>
  </si>
  <si>
    <t>EfficientNetB74</t>
  </si>
  <si>
    <t>EfficientNetB75</t>
  </si>
  <si>
    <t>EfficientNetB76</t>
  </si>
  <si>
    <t>EfficientNetB77</t>
  </si>
  <si>
    <t>EfficientNetB78</t>
  </si>
  <si>
    <t>EfficientNetB79</t>
  </si>
  <si>
    <t>InceptionV4</t>
  </si>
  <si>
    <t>InceptionV5</t>
  </si>
  <si>
    <t>InceptionV6</t>
  </si>
  <si>
    <t>InceptionV7</t>
  </si>
  <si>
    <t>InceptionV8</t>
  </si>
  <si>
    <t>InceptionV9</t>
  </si>
  <si>
    <t>InceptionV10</t>
  </si>
  <si>
    <t>InceptionV11</t>
  </si>
  <si>
    <t>InceptionV12</t>
  </si>
  <si>
    <t>InceptionV13</t>
  </si>
  <si>
    <t>InceptionV14</t>
  </si>
  <si>
    <t>InceptionV15</t>
  </si>
  <si>
    <t>InceptionV16</t>
  </si>
  <si>
    <t>InceptionV17</t>
  </si>
  <si>
    <t>InceptionV18</t>
  </si>
  <si>
    <t>InceptionV19</t>
  </si>
  <si>
    <t>InceptionV20</t>
  </si>
  <si>
    <t>InceptionV21</t>
  </si>
  <si>
    <t>InceptionV22</t>
  </si>
  <si>
    <t>InceptionV23</t>
  </si>
  <si>
    <t>InceptionV24</t>
  </si>
  <si>
    <t>InceptionV25</t>
  </si>
  <si>
    <t>InceptionV26</t>
  </si>
  <si>
    <t>InceptionV27</t>
  </si>
  <si>
    <t>InceptionV28</t>
  </si>
  <si>
    <t>InceptionV29</t>
  </si>
  <si>
    <t>InceptionV30</t>
  </si>
  <si>
    <t>InceptionV31</t>
  </si>
  <si>
    <t>InceptionV32</t>
  </si>
  <si>
    <t>InceptionV33</t>
  </si>
  <si>
    <t>InceptionV34</t>
  </si>
  <si>
    <t>InceptionV35</t>
  </si>
  <si>
    <t>InceptionV36</t>
  </si>
  <si>
    <t>InceptionV37</t>
  </si>
  <si>
    <t>InceptionV38</t>
  </si>
  <si>
    <t>InceptionV39</t>
  </si>
  <si>
    <t>InceptionV40</t>
  </si>
  <si>
    <t>InceptionV41</t>
  </si>
  <si>
    <t>InceptionV42</t>
  </si>
  <si>
    <t>InceptionV43</t>
  </si>
  <si>
    <t>InceptionV44</t>
  </si>
  <si>
    <t>InceptionV45</t>
  </si>
  <si>
    <t>InceptionV46</t>
  </si>
  <si>
    <t>InceptionV47</t>
  </si>
  <si>
    <t>InceptionV48</t>
  </si>
  <si>
    <t>InceptionV49</t>
  </si>
  <si>
    <t>InceptionV50</t>
  </si>
  <si>
    <t>InceptionV51</t>
  </si>
  <si>
    <t>InceptionV52</t>
  </si>
  <si>
    <t>InceptionV53</t>
  </si>
  <si>
    <t>InceptionV54</t>
  </si>
  <si>
    <t>InceptionV55</t>
  </si>
  <si>
    <t>InceptionV56</t>
  </si>
  <si>
    <t>InceptionV57</t>
  </si>
  <si>
    <t>InceptionV58</t>
  </si>
  <si>
    <t>InceptionV59</t>
  </si>
  <si>
    <t>InceptionV60</t>
  </si>
  <si>
    <t>InceptionV61</t>
  </si>
  <si>
    <t>InceptionV62</t>
  </si>
  <si>
    <t>InceptionV63</t>
  </si>
  <si>
    <t>InceptionV64</t>
  </si>
  <si>
    <t>InceptionV65</t>
  </si>
  <si>
    <t>InceptionV66</t>
  </si>
  <si>
    <t>InceptionV67</t>
  </si>
  <si>
    <t>InceptionV68</t>
  </si>
  <si>
    <t>InceptionV69</t>
  </si>
  <si>
    <t>InceptionV70</t>
  </si>
  <si>
    <t>InceptionV71</t>
  </si>
  <si>
    <t>InceptionV72</t>
  </si>
  <si>
    <t>InceptionV73</t>
  </si>
  <si>
    <t>InceptionV74</t>
  </si>
  <si>
    <t>InceptionV75</t>
  </si>
  <si>
    <t>InceptionV76</t>
  </si>
  <si>
    <t>InceptionV77</t>
  </si>
  <si>
    <t>InceptionV78</t>
  </si>
  <si>
    <t>InceptionV79</t>
  </si>
  <si>
    <t>InceptionV80</t>
  </si>
  <si>
    <t>InceptionV81</t>
  </si>
  <si>
    <t>InceptionV82</t>
  </si>
  <si>
    <t>ResNet-51</t>
  </si>
  <si>
    <t>ResNet-52</t>
  </si>
  <si>
    <t>ResNet-53</t>
  </si>
  <si>
    <t>ResNet-54</t>
  </si>
  <si>
    <t>ResNet-55</t>
  </si>
  <si>
    <t>ResNet-56</t>
  </si>
  <si>
    <t>ResNet-57</t>
  </si>
  <si>
    <t>ResNet-58</t>
  </si>
  <si>
    <t>ResNet-59</t>
  </si>
  <si>
    <t>ResNet-60</t>
  </si>
  <si>
    <t>ResNet-61</t>
  </si>
  <si>
    <t>ResNet-62</t>
  </si>
  <si>
    <t>ResNet-63</t>
  </si>
  <si>
    <t>ResNet-64</t>
  </si>
  <si>
    <t>ResNet-65</t>
  </si>
  <si>
    <t>ResNet-66</t>
  </si>
  <si>
    <t>ResNet-67</t>
  </si>
  <si>
    <t>ResNet-68</t>
  </si>
  <si>
    <t>ResNet-69</t>
  </si>
  <si>
    <t>ResNet-70</t>
  </si>
  <si>
    <t>ResNet-71</t>
  </si>
  <si>
    <t>ResNet-72</t>
  </si>
  <si>
    <t>ResNet-73</t>
  </si>
  <si>
    <t>ResNet-74</t>
  </si>
  <si>
    <t>ResNet-75</t>
  </si>
  <si>
    <t>ResNet-76</t>
  </si>
  <si>
    <t>ResNet-77</t>
  </si>
  <si>
    <t>ResNet-78</t>
  </si>
  <si>
    <t>ResNet-79</t>
  </si>
  <si>
    <t>ResNet-80</t>
  </si>
  <si>
    <t>ResNet-81</t>
  </si>
  <si>
    <t>ResNet-82</t>
  </si>
  <si>
    <t>ResNet-83</t>
  </si>
  <si>
    <t>ResNet-84</t>
  </si>
  <si>
    <t>ResNet-85</t>
  </si>
  <si>
    <t>ResNet-86</t>
  </si>
  <si>
    <t>ResNet-87</t>
  </si>
  <si>
    <t>ResNet-88</t>
  </si>
  <si>
    <t>ResNet-89</t>
  </si>
  <si>
    <t>ResNet-90</t>
  </si>
  <si>
    <t>ResNet-91</t>
  </si>
  <si>
    <t>ResNet-92</t>
  </si>
  <si>
    <t>ResNet-93</t>
  </si>
  <si>
    <t>ResNet-94</t>
  </si>
  <si>
    <t>ResNet-95</t>
  </si>
  <si>
    <t>ResNet-96</t>
  </si>
  <si>
    <t>ResNet-97</t>
  </si>
  <si>
    <t>ResNet-98</t>
  </si>
  <si>
    <t>ResNet-99</t>
  </si>
  <si>
    <t>ResNet-100</t>
  </si>
  <si>
    <t>ResNet-101</t>
  </si>
  <si>
    <t>ResNet-102</t>
  </si>
  <si>
    <t>ResNet-103</t>
  </si>
  <si>
    <t>ResNet-104</t>
  </si>
  <si>
    <t>ResNet-105</t>
  </si>
  <si>
    <t>ResNet-106</t>
  </si>
  <si>
    <t>ResNet-107</t>
  </si>
  <si>
    <t>ResNet-108</t>
  </si>
  <si>
    <t>ResNet-109</t>
  </si>
  <si>
    <t>ResNet-110</t>
  </si>
  <si>
    <t>ResNet-111</t>
  </si>
  <si>
    <t>ResNet-112</t>
  </si>
  <si>
    <t>ResNet-113</t>
  </si>
  <si>
    <t>ResNet-114</t>
  </si>
  <si>
    <t>ResNet-115</t>
  </si>
  <si>
    <t>ResNet-116</t>
  </si>
  <si>
    <t>ResNet-117</t>
  </si>
  <si>
    <t>ResNet-118</t>
  </si>
  <si>
    <t>ResNet-119</t>
  </si>
  <si>
    <t>ResNet-120</t>
  </si>
  <si>
    <t>ResNet-121</t>
  </si>
  <si>
    <t>ResNet-122</t>
  </si>
  <si>
    <t>ResNet-123</t>
  </si>
  <si>
    <t>ResNet-124</t>
  </si>
  <si>
    <t>ResNet-125</t>
  </si>
  <si>
    <t>ResNet-126</t>
  </si>
  <si>
    <t>ResNet-127</t>
  </si>
  <si>
    <t>ResNet-128</t>
  </si>
  <si>
    <t>ResNet-129</t>
  </si>
  <si>
    <t>DFC CPU</t>
    <phoneticPr fontId="4" type="noConversion"/>
  </si>
  <si>
    <t>Celeb-DF(V2) CPU</t>
    <phoneticPr fontId="4" type="noConversion"/>
  </si>
  <si>
    <t>FF++ CPU</t>
    <phoneticPr fontId="4" type="noConversion"/>
  </si>
  <si>
    <t>WildDeepfake CPU</t>
    <phoneticPr fontId="4" type="noConversion"/>
  </si>
  <si>
    <t>DFC Ram</t>
    <phoneticPr fontId="4" type="noConversion"/>
  </si>
  <si>
    <t>Celeb-DF(V2) Ram</t>
    <phoneticPr fontId="4" type="noConversion"/>
  </si>
  <si>
    <t>DFC Gpu</t>
    <phoneticPr fontId="4" type="noConversion"/>
  </si>
  <si>
    <t>Celeb-DF(V2) Gpu</t>
    <phoneticPr fontId="4" type="noConversion"/>
  </si>
  <si>
    <t>F++ GPU</t>
    <phoneticPr fontId="4" type="noConversion"/>
  </si>
  <si>
    <t>FF++ RAM</t>
    <phoneticPr fontId="4" type="noConversion"/>
  </si>
  <si>
    <t>WildDeepfake RAM</t>
    <phoneticPr fontId="4" type="noConversion"/>
  </si>
  <si>
    <t>W-F GPU</t>
    <phoneticPr fontId="4" type="noConversion"/>
  </si>
  <si>
    <t>Norm DFC RAM</t>
    <phoneticPr fontId="4" type="noConversion"/>
  </si>
  <si>
    <t>Norm DFC GPU</t>
    <phoneticPr fontId="4" type="noConversion"/>
  </si>
  <si>
    <t>Norm DFC CPU</t>
    <phoneticPr fontId="4" type="noConversion"/>
  </si>
  <si>
    <t>DFC Resource Score</t>
    <phoneticPr fontId="4" type="noConversion"/>
  </si>
  <si>
    <t>Norm Celeb RAM</t>
    <phoneticPr fontId="4" type="noConversion"/>
  </si>
  <si>
    <t>Norm Celeb GPU</t>
    <phoneticPr fontId="4" type="noConversion"/>
  </si>
  <si>
    <t>Norm Celeb CPU</t>
    <phoneticPr fontId="4" type="noConversion"/>
  </si>
  <si>
    <t>Celeb Resource Score</t>
    <phoneticPr fontId="4" type="noConversion"/>
  </si>
  <si>
    <t>Norm FF++ RAM</t>
    <phoneticPr fontId="4" type="noConversion"/>
  </si>
  <si>
    <t>Norm FF++ GPU</t>
    <phoneticPr fontId="4" type="noConversion"/>
  </si>
  <si>
    <t>Norm FF++ CPU</t>
    <phoneticPr fontId="4" type="noConversion"/>
  </si>
  <si>
    <t>FF++ Resource Score</t>
    <phoneticPr fontId="4" type="noConversion"/>
  </si>
  <si>
    <t>Norm Wild RAM</t>
    <phoneticPr fontId="4" type="noConversion"/>
  </si>
  <si>
    <t>Norm Wild GPU</t>
    <phoneticPr fontId="4" type="noConversion"/>
  </si>
  <si>
    <t>Norm Wild CPU</t>
    <phoneticPr fontId="4" type="noConversion"/>
  </si>
  <si>
    <t>Wild Resource Score</t>
    <phoneticPr fontId="4" type="noConversion"/>
  </si>
  <si>
    <t>Overall Resource Efficiency</t>
  </si>
  <si>
    <t>Resource Grade</t>
  </si>
  <si>
    <t>Resource Efficiency Score</t>
  </si>
  <si>
    <t>(\geq90)</t>
  </si>
  <si>
    <t>(\geq70) and (&lt;90)</t>
  </si>
  <si>
    <t>(\geq50) and (&lt;70)</t>
  </si>
  <si>
    <t>(\geq30) and (&lt;50)</t>
  </si>
  <si>
    <t>(&lt;30)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</si>
</sst>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1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9"/>
      <name val="宋体"/>
      <family val="3"/>
      <charset val="134"/>
    </font>
    <font>
      <sz val="11"/>
      <color theme="1"/>
      <name val="Carlito"/>
    </font>
    <font>
      <sz val="10"/>
      <name val="Carlito"/>
    </font>
    <font>
      <sz val="10"/>
      <name val="Carlito"/>
      <family val="2"/>
    </font>
    <font>
      <sz val="9"/>
      <name val="Carlito"/>
    </font>
    <font>
      <sz val="11"/>
      <name val="Carlito"/>
    </font>
    <font>
      <b/>
      <sz val="11"/>
      <name val="Carlito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0">
    <xf numFmtId="0" fontId="0" fillId="0" borderId="0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  <xf numFmtId="0" fontId="9" fillId="0" borderId="7"/>
  </cellStyleXfs>
  <cellXfs count="3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76" fontId="0" fillId="0" borderId="7" xfId="0" applyNumberFormat="1" applyBorder="1"/>
    <xf numFmtId="0" fontId="3" fillId="0" borderId="4" xfId="0" applyFont="1" applyBorder="1"/>
    <xf numFmtId="0" fontId="3" fillId="0" borderId="6" xfId="0" applyFont="1" applyBorder="1"/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5" fillId="4" borderId="8" xfId="0" applyFont="1" applyFill="1" applyBorder="1"/>
    <xf numFmtId="0" fontId="5" fillId="0" borderId="8" xfId="0" applyFont="1" applyBorder="1"/>
    <xf numFmtId="176" fontId="5" fillId="4" borderId="8" xfId="0" applyNumberFormat="1" applyFont="1" applyFill="1" applyBorder="1"/>
    <xf numFmtId="176" fontId="5" fillId="0" borderId="8" xfId="0" applyNumberFormat="1" applyFont="1" applyBorder="1"/>
    <xf numFmtId="0" fontId="2" fillId="3" borderId="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5" fillId="4" borderId="10" xfId="0" applyFont="1" applyFill="1" applyBorder="1"/>
    <xf numFmtId="176" fontId="5" fillId="4" borderId="10" xfId="0" applyNumberFormat="1" applyFont="1" applyFill="1" applyBorder="1"/>
    <xf numFmtId="0" fontId="0" fillId="0" borderId="12" xfId="0" applyBorder="1"/>
    <xf numFmtId="176" fontId="0" fillId="0" borderId="12" xfId="0" applyNumberFormat="1" applyBorder="1"/>
    <xf numFmtId="176" fontId="0" fillId="0" borderId="13" xfId="0" applyNumberFormat="1" applyBorder="1"/>
    <xf numFmtId="0" fontId="0" fillId="0" borderId="7" xfId="0" applyBorder="1"/>
    <xf numFmtId="176" fontId="0" fillId="0" borderId="15" xfId="0" applyNumberFormat="1" applyBorder="1"/>
    <xf numFmtId="0" fontId="0" fillId="0" borderId="17" xfId="0" applyBorder="1"/>
    <xf numFmtId="176" fontId="0" fillId="0" borderId="17" xfId="0" applyNumberFormat="1" applyBorder="1"/>
    <xf numFmtId="176" fontId="0" fillId="0" borderId="18" xfId="0" applyNumberFormat="1" applyBorder="1"/>
    <xf numFmtId="0" fontId="5" fillId="4" borderId="19" xfId="0" applyFont="1" applyFill="1" applyBorder="1"/>
    <xf numFmtId="176" fontId="5" fillId="4" borderId="19" xfId="0" applyNumberFormat="1" applyFont="1" applyFill="1" applyBorder="1"/>
    <xf numFmtId="176" fontId="5" fillId="4" borderId="21" xfId="0" applyNumberFormat="1" applyFont="1" applyFill="1" applyBorder="1"/>
    <xf numFmtId="176" fontId="5" fillId="0" borderId="22" xfId="0" applyNumberFormat="1" applyFont="1" applyBorder="1"/>
    <xf numFmtId="176" fontId="5" fillId="4" borderId="22" xfId="0" applyNumberFormat="1" applyFont="1" applyFill="1" applyBorder="1"/>
    <xf numFmtId="0" fontId="5" fillId="4" borderId="20" xfId="0" applyFont="1" applyFill="1" applyBorder="1"/>
    <xf numFmtId="176" fontId="5" fillId="4" borderId="20" xfId="0" applyNumberFormat="1" applyFont="1" applyFill="1" applyBorder="1"/>
    <xf numFmtId="176" fontId="5" fillId="4" borderId="23" xfId="0" applyNumberFormat="1" applyFont="1" applyFill="1" applyBorder="1"/>
    <xf numFmtId="0" fontId="5" fillId="0" borderId="19" xfId="0" applyFont="1" applyBorder="1"/>
    <xf numFmtId="176" fontId="5" fillId="0" borderId="19" xfId="0" applyNumberFormat="1" applyFont="1" applyBorder="1"/>
    <xf numFmtId="176" fontId="5" fillId="0" borderId="21" xfId="0" applyNumberFormat="1" applyFont="1" applyBorder="1"/>
    <xf numFmtId="0" fontId="5" fillId="0" borderId="20" xfId="0" applyFont="1" applyBorder="1"/>
    <xf numFmtId="176" fontId="5" fillId="0" borderId="20" xfId="0" applyNumberFormat="1" applyFont="1" applyBorder="1"/>
    <xf numFmtId="176" fontId="5" fillId="0" borderId="23" xfId="0" applyNumberFormat="1" applyFont="1" applyBorder="1"/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0" fillId="0" borderId="12" xfId="0" applyBorder="1" applyAlignment="1">
      <alignment wrapText="1"/>
    </xf>
    <xf numFmtId="0" fontId="0" fillId="0" borderId="17" xfId="0" applyBorder="1" applyAlignment="1">
      <alignment wrapText="1"/>
    </xf>
    <xf numFmtId="0" fontId="5" fillId="4" borderId="7" xfId="0" applyFont="1" applyFill="1" applyBorder="1"/>
    <xf numFmtId="176" fontId="5" fillId="4" borderId="7" xfId="0" applyNumberFormat="1" applyFont="1" applyFill="1" applyBorder="1"/>
    <xf numFmtId="0" fontId="5" fillId="0" borderId="7" xfId="0" applyFont="1" applyBorder="1"/>
    <xf numFmtId="176" fontId="5" fillId="0" borderId="7" xfId="0" applyNumberFormat="1" applyFont="1" applyBorder="1"/>
    <xf numFmtId="0" fontId="5" fillId="0" borderId="12" xfId="0" applyFont="1" applyBorder="1"/>
    <xf numFmtId="176" fontId="5" fillId="0" borderId="12" xfId="0" applyNumberFormat="1" applyFont="1" applyBorder="1"/>
    <xf numFmtId="176" fontId="5" fillId="0" borderId="13" xfId="0" applyNumberFormat="1" applyFont="1" applyBorder="1"/>
    <xf numFmtId="176" fontId="5" fillId="4" borderId="15" xfId="0" applyNumberFormat="1" applyFont="1" applyFill="1" applyBorder="1"/>
    <xf numFmtId="176" fontId="5" fillId="0" borderId="15" xfId="0" applyNumberFormat="1" applyFont="1" applyBorder="1"/>
    <xf numFmtId="0" fontId="5" fillId="0" borderId="17" xfId="0" applyFont="1" applyBorder="1"/>
    <xf numFmtId="176" fontId="5" fillId="0" borderId="17" xfId="0" applyNumberFormat="1" applyFont="1" applyBorder="1"/>
    <xf numFmtId="176" fontId="5" fillId="0" borderId="18" xfId="0" applyNumberFormat="1" applyFont="1" applyBorder="1"/>
    <xf numFmtId="0" fontId="5" fillId="4" borderId="12" xfId="0" applyFont="1" applyFill="1" applyBorder="1"/>
    <xf numFmtId="176" fontId="5" fillId="4" borderId="12" xfId="0" applyNumberFormat="1" applyFont="1" applyFill="1" applyBorder="1"/>
    <xf numFmtId="176" fontId="5" fillId="4" borderId="13" xfId="0" applyNumberFormat="1" applyFont="1" applyFill="1" applyBorder="1"/>
    <xf numFmtId="176" fontId="5" fillId="4" borderId="27" xfId="0" applyNumberFormat="1" applyFont="1" applyFill="1" applyBorder="1"/>
    <xf numFmtId="0" fontId="5" fillId="4" borderId="28" xfId="0" applyFont="1" applyFill="1" applyBorder="1"/>
    <xf numFmtId="176" fontId="5" fillId="4" borderId="8" xfId="0" applyNumberFormat="1" applyFont="1" applyFill="1" applyBorder="1" applyAlignment="1">
      <alignment horizontal="center"/>
    </xf>
    <xf numFmtId="176" fontId="5" fillId="0" borderId="8" xfId="0" applyNumberFormat="1" applyFont="1" applyBorder="1" applyAlignment="1">
      <alignment horizontal="center"/>
    </xf>
    <xf numFmtId="0" fontId="5" fillId="0" borderId="10" xfId="0" applyFont="1" applyBorder="1"/>
    <xf numFmtId="176" fontId="5" fillId="0" borderId="10" xfId="0" applyNumberFormat="1" applyFont="1" applyBorder="1" applyAlignment="1">
      <alignment horizontal="center"/>
    </xf>
    <xf numFmtId="176" fontId="5" fillId="4" borderId="19" xfId="0" applyNumberFormat="1" applyFont="1" applyFill="1" applyBorder="1" applyAlignment="1">
      <alignment horizontal="center"/>
    </xf>
    <xf numFmtId="176" fontId="5" fillId="4" borderId="21" xfId="0" applyNumberFormat="1" applyFont="1" applyFill="1" applyBorder="1" applyAlignment="1">
      <alignment horizontal="center"/>
    </xf>
    <xf numFmtId="176" fontId="5" fillId="0" borderId="22" xfId="0" applyNumberFormat="1" applyFont="1" applyBorder="1" applyAlignment="1">
      <alignment horizontal="center"/>
    </xf>
    <xf numFmtId="176" fontId="5" fillId="4" borderId="22" xfId="0" applyNumberFormat="1" applyFont="1" applyFill="1" applyBorder="1" applyAlignment="1">
      <alignment horizontal="center"/>
    </xf>
    <xf numFmtId="176" fontId="5" fillId="4" borderId="20" xfId="0" applyNumberFormat="1" applyFont="1" applyFill="1" applyBorder="1" applyAlignment="1">
      <alignment horizontal="center"/>
    </xf>
    <xf numFmtId="176" fontId="5" fillId="4" borderId="23" xfId="0" applyNumberFormat="1" applyFont="1" applyFill="1" applyBorder="1" applyAlignment="1">
      <alignment horizontal="center"/>
    </xf>
    <xf numFmtId="0" fontId="5" fillId="0" borderId="29" xfId="0" applyFont="1" applyBorder="1"/>
    <xf numFmtId="176" fontId="5" fillId="0" borderId="19" xfId="0" applyNumberFormat="1" applyFont="1" applyBorder="1" applyAlignment="1">
      <alignment horizontal="center"/>
    </xf>
    <xf numFmtId="176" fontId="5" fillId="0" borderId="21" xfId="0" applyNumberFormat="1" applyFont="1" applyBorder="1" applyAlignment="1">
      <alignment horizontal="center"/>
    </xf>
    <xf numFmtId="176" fontId="5" fillId="0" borderId="20" xfId="0" applyNumberFormat="1" applyFont="1" applyBorder="1" applyAlignment="1">
      <alignment horizontal="center"/>
    </xf>
    <xf numFmtId="176" fontId="5" fillId="0" borderId="23" xfId="0" applyNumberFormat="1" applyFont="1" applyBorder="1" applyAlignment="1">
      <alignment horizontal="center"/>
    </xf>
    <xf numFmtId="0" fontId="5" fillId="4" borderId="29" xfId="0" applyFont="1" applyFill="1" applyBorder="1"/>
    <xf numFmtId="176" fontId="5" fillId="0" borderId="29" xfId="0" applyNumberFormat="1" applyFont="1" applyBorder="1" applyAlignment="1">
      <alignment horizontal="center"/>
    </xf>
    <xf numFmtId="176" fontId="5" fillId="0" borderId="29" xfId="0" applyNumberFormat="1" applyFont="1" applyBorder="1"/>
    <xf numFmtId="176" fontId="5" fillId="0" borderId="30" xfId="0" applyNumberFormat="1" applyFont="1" applyBorder="1"/>
    <xf numFmtId="176" fontId="5" fillId="0" borderId="27" xfId="0" applyNumberFormat="1" applyFont="1" applyBorder="1" applyAlignment="1">
      <alignment horizontal="center"/>
    </xf>
    <xf numFmtId="176" fontId="5" fillId="0" borderId="30" xfId="0" applyNumberFormat="1" applyFont="1" applyBorder="1" applyAlignment="1">
      <alignment horizontal="center"/>
    </xf>
    <xf numFmtId="176" fontId="0" fillId="0" borderId="0" xfId="0" applyNumberFormat="1"/>
    <xf numFmtId="0" fontId="0" fillId="0" borderId="0" xfId="0" applyAlignment="1">
      <alignment wrapText="1"/>
    </xf>
    <xf numFmtId="0" fontId="5" fillId="4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9" fillId="0" borderId="7" xfId="2"/>
    <xf numFmtId="176" fontId="9" fillId="0" borderId="7" xfId="2" applyNumberFormat="1"/>
    <xf numFmtId="0" fontId="9" fillId="0" borderId="12" xfId="2" applyBorder="1"/>
    <xf numFmtId="176" fontId="9" fillId="0" borderId="12" xfId="2" applyNumberFormat="1" applyBorder="1"/>
    <xf numFmtId="176" fontId="9" fillId="0" borderId="13" xfId="2" applyNumberFormat="1" applyBorder="1"/>
    <xf numFmtId="176" fontId="9" fillId="0" borderId="15" xfId="2" applyNumberFormat="1" applyBorder="1"/>
    <xf numFmtId="0" fontId="9" fillId="0" borderId="17" xfId="2" applyBorder="1"/>
    <xf numFmtId="176" fontId="9" fillId="0" borderId="17" xfId="2" applyNumberFormat="1" applyBorder="1"/>
    <xf numFmtId="176" fontId="9" fillId="0" borderId="18" xfId="2" applyNumberFormat="1" applyBorder="1"/>
    <xf numFmtId="0" fontId="9" fillId="0" borderId="7" xfId="5"/>
    <xf numFmtId="176" fontId="9" fillId="0" borderId="7" xfId="5" applyNumberFormat="1"/>
    <xf numFmtId="0" fontId="9" fillId="0" borderId="12" xfId="5" applyBorder="1"/>
    <xf numFmtId="176" fontId="9" fillId="0" borderId="12" xfId="5" applyNumberFormat="1" applyBorder="1"/>
    <xf numFmtId="176" fontId="9" fillId="0" borderId="13" xfId="5" applyNumberFormat="1" applyBorder="1"/>
    <xf numFmtId="176" fontId="9" fillId="0" borderId="15" xfId="5" applyNumberFormat="1" applyBorder="1"/>
    <xf numFmtId="0" fontId="9" fillId="0" borderId="17" xfId="5" applyBorder="1"/>
    <xf numFmtId="176" fontId="9" fillId="0" borderId="17" xfId="5" applyNumberFormat="1" applyBorder="1"/>
    <xf numFmtId="176" fontId="9" fillId="0" borderId="18" xfId="5" applyNumberFormat="1" applyBorder="1"/>
    <xf numFmtId="176" fontId="9" fillId="0" borderId="7" xfId="6" applyNumberFormat="1"/>
    <xf numFmtId="0" fontId="9" fillId="0" borderId="7" xfId="6" applyAlignment="1">
      <alignment wrapText="1"/>
    </xf>
    <xf numFmtId="0" fontId="9" fillId="0" borderId="12" xfId="6" applyBorder="1" applyAlignment="1">
      <alignment wrapText="1"/>
    </xf>
    <xf numFmtId="176" fontId="9" fillId="0" borderId="12" xfId="6" applyNumberFormat="1" applyBorder="1"/>
    <xf numFmtId="176" fontId="9" fillId="0" borderId="13" xfId="6" applyNumberFormat="1" applyBorder="1"/>
    <xf numFmtId="176" fontId="9" fillId="0" borderId="15" xfId="6" applyNumberFormat="1" applyBorder="1"/>
    <xf numFmtId="0" fontId="9" fillId="0" borderId="17" xfId="6" applyBorder="1" applyAlignment="1">
      <alignment wrapText="1"/>
    </xf>
    <xf numFmtId="176" fontId="9" fillId="0" borderId="17" xfId="6" applyNumberFormat="1" applyBorder="1"/>
    <xf numFmtId="176" fontId="9" fillId="0" borderId="18" xfId="6" applyNumberFormat="1" applyBorder="1"/>
    <xf numFmtId="176" fontId="9" fillId="0" borderId="7" xfId="7" applyNumberFormat="1"/>
    <xf numFmtId="0" fontId="9" fillId="0" borderId="7" xfId="7" applyAlignment="1">
      <alignment wrapText="1"/>
    </xf>
    <xf numFmtId="0" fontId="9" fillId="0" borderId="12" xfId="7" applyBorder="1" applyAlignment="1">
      <alignment wrapText="1"/>
    </xf>
    <xf numFmtId="176" fontId="9" fillId="0" borderId="12" xfId="7" applyNumberFormat="1" applyBorder="1"/>
    <xf numFmtId="176" fontId="9" fillId="0" borderId="13" xfId="7" applyNumberFormat="1" applyBorder="1"/>
    <xf numFmtId="176" fontId="9" fillId="0" borderId="15" xfId="7" applyNumberFormat="1" applyBorder="1"/>
    <xf numFmtId="0" fontId="9" fillId="0" borderId="17" xfId="7" applyBorder="1" applyAlignment="1">
      <alignment wrapText="1"/>
    </xf>
    <xf numFmtId="176" fontId="9" fillId="0" borderId="17" xfId="7" applyNumberFormat="1" applyBorder="1"/>
    <xf numFmtId="176" fontId="9" fillId="0" borderId="18" xfId="7" applyNumberFormat="1" applyBorder="1"/>
    <xf numFmtId="0" fontId="9" fillId="0" borderId="7" xfId="11"/>
    <xf numFmtId="176" fontId="9" fillId="0" borderId="7" xfId="11" applyNumberFormat="1"/>
    <xf numFmtId="0" fontId="9" fillId="0" borderId="12" xfId="11" applyBorder="1"/>
    <xf numFmtId="176" fontId="9" fillId="0" borderId="12" xfId="11" applyNumberFormat="1" applyBorder="1"/>
    <xf numFmtId="176" fontId="9" fillId="0" borderId="13" xfId="11" applyNumberFormat="1" applyBorder="1"/>
    <xf numFmtId="176" fontId="9" fillId="0" borderId="15" xfId="11" applyNumberFormat="1" applyBorder="1"/>
    <xf numFmtId="0" fontId="9" fillId="0" borderId="17" xfId="11" applyBorder="1"/>
    <xf numFmtId="176" fontId="9" fillId="0" borderId="17" xfId="11" applyNumberFormat="1" applyBorder="1"/>
    <xf numFmtId="176" fontId="9" fillId="0" borderId="18" xfId="11" applyNumberFormat="1" applyBorder="1"/>
    <xf numFmtId="176" fontId="9" fillId="0" borderId="7" xfId="12" applyNumberFormat="1"/>
    <xf numFmtId="0" fontId="9" fillId="0" borderId="7" xfId="12" applyAlignment="1">
      <alignment wrapText="1"/>
    </xf>
    <xf numFmtId="176" fontId="9" fillId="0" borderId="7" xfId="13" applyNumberFormat="1"/>
    <xf numFmtId="0" fontId="9" fillId="0" borderId="7" xfId="13" applyAlignment="1">
      <alignment wrapText="1"/>
    </xf>
    <xf numFmtId="0" fontId="9" fillId="0" borderId="7" xfId="16"/>
    <xf numFmtId="176" fontId="9" fillId="0" borderId="7" xfId="16" applyNumberFormat="1"/>
    <xf numFmtId="0" fontId="9" fillId="0" borderId="12" xfId="16" applyBorder="1"/>
    <xf numFmtId="176" fontId="9" fillId="0" borderId="12" xfId="16" applyNumberFormat="1" applyBorder="1"/>
    <xf numFmtId="176" fontId="9" fillId="0" borderId="13" xfId="16" applyNumberFormat="1" applyBorder="1"/>
    <xf numFmtId="176" fontId="9" fillId="0" borderId="15" xfId="16" applyNumberFormat="1" applyBorder="1"/>
    <xf numFmtId="0" fontId="9" fillId="0" borderId="17" xfId="16" applyBorder="1"/>
    <xf numFmtId="176" fontId="9" fillId="0" borderId="17" xfId="16" applyNumberFormat="1" applyBorder="1"/>
    <xf numFmtId="176" fontId="9" fillId="0" borderId="18" xfId="16" applyNumberFormat="1" applyBorder="1"/>
    <xf numFmtId="0" fontId="9" fillId="0" borderId="12" xfId="12" applyBorder="1" applyAlignment="1">
      <alignment wrapText="1"/>
    </xf>
    <xf numFmtId="176" fontId="9" fillId="0" borderId="12" xfId="12" applyNumberFormat="1" applyBorder="1"/>
    <xf numFmtId="176" fontId="9" fillId="0" borderId="13" xfId="12" applyNumberFormat="1" applyBorder="1"/>
    <xf numFmtId="176" fontId="9" fillId="0" borderId="15" xfId="12" applyNumberFormat="1" applyBorder="1"/>
    <xf numFmtId="0" fontId="9" fillId="0" borderId="17" xfId="12" applyBorder="1" applyAlignment="1">
      <alignment wrapText="1"/>
    </xf>
    <xf numFmtId="176" fontId="9" fillId="0" borderId="17" xfId="12" applyNumberFormat="1" applyBorder="1"/>
    <xf numFmtId="176" fontId="9" fillId="0" borderId="18" xfId="12" applyNumberFormat="1" applyBorder="1"/>
    <xf numFmtId="176" fontId="9" fillId="0" borderId="7" xfId="17" applyNumberFormat="1"/>
    <xf numFmtId="0" fontId="9" fillId="0" borderId="7" xfId="17" applyAlignment="1">
      <alignment wrapText="1"/>
    </xf>
    <xf numFmtId="0" fontId="9" fillId="0" borderId="12" xfId="17" applyBorder="1" applyAlignment="1">
      <alignment wrapText="1"/>
    </xf>
    <xf numFmtId="176" fontId="9" fillId="0" borderId="12" xfId="17" applyNumberFormat="1" applyBorder="1"/>
    <xf numFmtId="176" fontId="9" fillId="0" borderId="13" xfId="17" applyNumberFormat="1" applyBorder="1"/>
    <xf numFmtId="176" fontId="9" fillId="0" borderId="15" xfId="17" applyNumberFormat="1" applyBorder="1"/>
    <xf numFmtId="0" fontId="9" fillId="0" borderId="17" xfId="17" applyBorder="1" applyAlignment="1">
      <alignment wrapText="1"/>
    </xf>
    <xf numFmtId="176" fontId="9" fillId="0" borderId="17" xfId="17" applyNumberFormat="1" applyBorder="1"/>
    <xf numFmtId="176" fontId="9" fillId="0" borderId="18" xfId="17" applyNumberFormat="1" applyBorder="1"/>
    <xf numFmtId="0" fontId="9" fillId="0" borderId="12" xfId="13" applyBorder="1" applyAlignment="1">
      <alignment wrapText="1"/>
    </xf>
    <xf numFmtId="176" fontId="9" fillId="0" borderId="12" xfId="13" applyNumberFormat="1" applyBorder="1"/>
    <xf numFmtId="176" fontId="9" fillId="0" borderId="13" xfId="13" applyNumberFormat="1" applyBorder="1"/>
    <xf numFmtId="176" fontId="9" fillId="0" borderId="15" xfId="13" applyNumberFormat="1" applyBorder="1"/>
    <xf numFmtId="0" fontId="9" fillId="0" borderId="17" xfId="13" applyBorder="1" applyAlignment="1">
      <alignment wrapText="1"/>
    </xf>
    <xf numFmtId="176" fontId="9" fillId="0" borderId="17" xfId="13" applyNumberFormat="1" applyBorder="1"/>
    <xf numFmtId="176" fontId="9" fillId="0" borderId="18" xfId="13" applyNumberFormat="1" applyBorder="1"/>
    <xf numFmtId="176" fontId="9" fillId="0" borderId="7" xfId="18" applyNumberFormat="1"/>
    <xf numFmtId="0" fontId="9" fillId="0" borderId="7" xfId="18" applyAlignment="1">
      <alignment wrapText="1"/>
    </xf>
    <xf numFmtId="0" fontId="9" fillId="0" borderId="12" xfId="18" applyBorder="1" applyAlignment="1">
      <alignment wrapText="1"/>
    </xf>
    <xf numFmtId="176" fontId="9" fillId="0" borderId="12" xfId="18" applyNumberFormat="1" applyBorder="1"/>
    <xf numFmtId="176" fontId="9" fillId="0" borderId="13" xfId="18" applyNumberFormat="1" applyBorder="1"/>
    <xf numFmtId="176" fontId="9" fillId="0" borderId="15" xfId="18" applyNumberFormat="1" applyBorder="1"/>
    <xf numFmtId="0" fontId="9" fillId="0" borderId="17" xfId="18" applyBorder="1" applyAlignment="1">
      <alignment wrapText="1"/>
    </xf>
    <xf numFmtId="176" fontId="9" fillId="0" borderId="17" xfId="18" applyNumberFormat="1" applyBorder="1"/>
    <xf numFmtId="176" fontId="9" fillId="0" borderId="18" xfId="18" applyNumberFormat="1" applyBorder="1"/>
    <xf numFmtId="0" fontId="9" fillId="0" borderId="7" xfId="21"/>
    <xf numFmtId="176" fontId="9" fillId="0" borderId="7" xfId="21" applyNumberFormat="1"/>
    <xf numFmtId="176" fontId="9" fillId="0" borderId="7" xfId="22" applyNumberFormat="1"/>
    <xf numFmtId="0" fontId="9" fillId="0" borderId="7" xfId="22" applyAlignment="1">
      <alignment wrapText="1"/>
    </xf>
    <xf numFmtId="176" fontId="9" fillId="0" borderId="7" xfId="23" applyNumberFormat="1"/>
    <xf numFmtId="0" fontId="9" fillId="0" borderId="7" xfId="23" applyAlignment="1">
      <alignment wrapText="1"/>
    </xf>
    <xf numFmtId="0" fontId="9" fillId="0" borderId="11" xfId="23" applyBorder="1" applyAlignment="1">
      <alignment wrapText="1"/>
    </xf>
    <xf numFmtId="0" fontId="9" fillId="0" borderId="12" xfId="23" applyBorder="1" applyAlignment="1">
      <alignment wrapText="1"/>
    </xf>
    <xf numFmtId="176" fontId="9" fillId="0" borderId="12" xfId="23" applyNumberFormat="1" applyBorder="1"/>
    <xf numFmtId="176" fontId="9" fillId="0" borderId="13" xfId="23" applyNumberFormat="1" applyBorder="1"/>
    <xf numFmtId="0" fontId="9" fillId="0" borderId="14" xfId="23" applyBorder="1" applyAlignment="1">
      <alignment wrapText="1"/>
    </xf>
    <xf numFmtId="176" fontId="9" fillId="0" borderId="15" xfId="23" applyNumberFormat="1" applyBorder="1"/>
    <xf numFmtId="0" fontId="9" fillId="0" borderId="16" xfId="23" applyBorder="1" applyAlignment="1">
      <alignment wrapText="1"/>
    </xf>
    <xf numFmtId="0" fontId="9" fillId="0" borderId="17" xfId="23" applyBorder="1" applyAlignment="1">
      <alignment wrapText="1"/>
    </xf>
    <xf numFmtId="176" fontId="9" fillId="0" borderId="17" xfId="23" applyNumberFormat="1" applyBorder="1"/>
    <xf numFmtId="176" fontId="9" fillId="0" borderId="18" xfId="23" applyNumberFormat="1" applyBorder="1"/>
    <xf numFmtId="0" fontId="9" fillId="0" borderId="7" xfId="26"/>
    <xf numFmtId="176" fontId="9" fillId="0" borderId="7" xfId="26" applyNumberFormat="1"/>
    <xf numFmtId="0" fontId="9" fillId="0" borderId="12" xfId="21" applyBorder="1"/>
    <xf numFmtId="176" fontId="9" fillId="0" borderId="12" xfId="21" applyNumberFormat="1" applyBorder="1"/>
    <xf numFmtId="176" fontId="9" fillId="0" borderId="13" xfId="21" applyNumberFormat="1" applyBorder="1"/>
    <xf numFmtId="176" fontId="9" fillId="0" borderId="15" xfId="21" applyNumberFormat="1" applyBorder="1"/>
    <xf numFmtId="0" fontId="9" fillId="0" borderId="17" xfId="21" applyBorder="1"/>
    <xf numFmtId="176" fontId="9" fillId="0" borderId="17" xfId="21" applyNumberFormat="1" applyBorder="1"/>
    <xf numFmtId="176" fontId="9" fillId="0" borderId="18" xfId="21" applyNumberFormat="1" applyBorder="1"/>
    <xf numFmtId="0" fontId="9" fillId="0" borderId="12" xfId="26" applyBorder="1"/>
    <xf numFmtId="176" fontId="9" fillId="0" borderId="12" xfId="26" applyNumberFormat="1" applyBorder="1"/>
    <xf numFmtId="176" fontId="9" fillId="0" borderId="13" xfId="26" applyNumberFormat="1" applyBorder="1"/>
    <xf numFmtId="176" fontId="9" fillId="0" borderId="15" xfId="26" applyNumberFormat="1" applyBorder="1"/>
    <xf numFmtId="0" fontId="9" fillId="0" borderId="17" xfId="26" applyBorder="1"/>
    <xf numFmtId="176" fontId="9" fillId="0" borderId="17" xfId="26" applyNumberFormat="1" applyBorder="1"/>
    <xf numFmtId="176" fontId="9" fillId="0" borderId="18" xfId="26" applyNumberFormat="1" applyBorder="1"/>
    <xf numFmtId="176" fontId="9" fillId="0" borderId="7" xfId="27" applyNumberFormat="1"/>
    <xf numFmtId="0" fontId="9" fillId="0" borderId="7" xfId="27" applyAlignment="1">
      <alignment wrapText="1"/>
    </xf>
    <xf numFmtId="0" fontId="9" fillId="0" borderId="12" xfId="22" applyBorder="1" applyAlignment="1">
      <alignment wrapText="1"/>
    </xf>
    <xf numFmtId="176" fontId="9" fillId="0" borderId="12" xfId="22" applyNumberFormat="1" applyBorder="1"/>
    <xf numFmtId="176" fontId="9" fillId="0" borderId="13" xfId="22" applyNumberFormat="1" applyBorder="1"/>
    <xf numFmtId="176" fontId="9" fillId="0" borderId="15" xfId="22" applyNumberFormat="1" applyBorder="1"/>
    <xf numFmtId="0" fontId="9" fillId="0" borderId="17" xfId="22" applyBorder="1" applyAlignment="1">
      <alignment wrapText="1"/>
    </xf>
    <xf numFmtId="176" fontId="9" fillId="0" borderId="17" xfId="22" applyNumberFormat="1" applyBorder="1"/>
    <xf numFmtId="176" fontId="9" fillId="0" borderId="18" xfId="22" applyNumberFormat="1" applyBorder="1"/>
    <xf numFmtId="0" fontId="9" fillId="0" borderId="12" xfId="27" applyBorder="1" applyAlignment="1">
      <alignment wrapText="1"/>
    </xf>
    <xf numFmtId="176" fontId="9" fillId="0" borderId="12" xfId="27" applyNumberFormat="1" applyBorder="1"/>
    <xf numFmtId="176" fontId="9" fillId="0" borderId="13" xfId="27" applyNumberFormat="1" applyBorder="1"/>
    <xf numFmtId="176" fontId="9" fillId="0" borderId="15" xfId="27" applyNumberFormat="1" applyBorder="1"/>
    <xf numFmtId="0" fontId="9" fillId="0" borderId="17" xfId="27" applyBorder="1" applyAlignment="1">
      <alignment wrapText="1"/>
    </xf>
    <xf numFmtId="176" fontId="9" fillId="0" borderId="17" xfId="27" applyNumberFormat="1" applyBorder="1"/>
    <xf numFmtId="176" fontId="9" fillId="0" borderId="18" xfId="27" applyNumberFormat="1" applyBorder="1"/>
    <xf numFmtId="176" fontId="9" fillId="0" borderId="7" xfId="28" applyNumberFormat="1"/>
    <xf numFmtId="0" fontId="9" fillId="0" borderId="7" xfId="28" applyAlignment="1">
      <alignment wrapText="1"/>
    </xf>
    <xf numFmtId="0" fontId="9" fillId="0" borderId="12" xfId="28" applyBorder="1" applyAlignment="1">
      <alignment wrapText="1"/>
    </xf>
    <xf numFmtId="176" fontId="9" fillId="0" borderId="12" xfId="28" applyNumberFormat="1" applyBorder="1"/>
    <xf numFmtId="176" fontId="9" fillId="0" borderId="13" xfId="28" applyNumberFormat="1" applyBorder="1"/>
    <xf numFmtId="176" fontId="9" fillId="0" borderId="15" xfId="28" applyNumberFormat="1" applyBorder="1"/>
    <xf numFmtId="0" fontId="9" fillId="0" borderId="17" xfId="28" applyBorder="1" applyAlignment="1">
      <alignment wrapText="1"/>
    </xf>
    <xf numFmtId="176" fontId="9" fillId="0" borderId="17" xfId="28" applyNumberFormat="1" applyBorder="1"/>
    <xf numFmtId="176" fontId="9" fillId="0" borderId="18" xfId="28" applyNumberFormat="1" applyBorder="1"/>
    <xf numFmtId="0" fontId="5" fillId="4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5" borderId="11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12" xfId="0" applyBorder="1" applyAlignment="1"/>
    <xf numFmtId="0" fontId="0" fillId="7" borderId="12" xfId="0" applyFill="1" applyBorder="1" applyAlignment="1"/>
    <xf numFmtId="0" fontId="0" fillId="0" borderId="13" xfId="0" applyBorder="1" applyAlignment="1"/>
    <xf numFmtId="0" fontId="5" fillId="4" borderId="24" xfId="0" applyFont="1" applyFill="1" applyBorder="1" applyAlignment="1"/>
    <xf numFmtId="0" fontId="5" fillId="8" borderId="24" xfId="0" applyFont="1" applyFill="1" applyBorder="1" applyAlignment="1"/>
    <xf numFmtId="0" fontId="5" fillId="10" borderId="7" xfId="0" applyFont="1" applyFill="1" applyBorder="1"/>
    <xf numFmtId="176" fontId="5" fillId="10" borderId="7" xfId="0" applyNumberFormat="1" applyFont="1" applyFill="1" applyBorder="1"/>
    <xf numFmtId="176" fontId="5" fillId="10" borderId="15" xfId="0" applyNumberFormat="1" applyFont="1" applyFill="1" applyBorder="1"/>
    <xf numFmtId="176" fontId="5" fillId="6" borderId="34" xfId="0" applyNumberFormat="1" applyFont="1" applyFill="1" applyBorder="1"/>
    <xf numFmtId="176" fontId="5" fillId="5" borderId="34" xfId="0" applyNumberFormat="1" applyFont="1" applyFill="1" applyBorder="1"/>
    <xf numFmtId="176" fontId="5" fillId="10" borderId="34" xfId="0" applyNumberFormat="1" applyFont="1" applyFill="1" applyBorder="1"/>
    <xf numFmtId="0" fontId="0" fillId="9" borderId="35" xfId="0" applyFill="1" applyBorder="1" applyAlignment="1">
      <alignment horizontal="center"/>
    </xf>
    <xf numFmtId="176" fontId="5" fillId="9" borderId="36" xfId="0" applyNumberFormat="1" applyFont="1" applyFill="1" applyBorder="1"/>
    <xf numFmtId="0" fontId="0" fillId="6" borderId="38" xfId="0" applyFill="1" applyBorder="1" applyAlignment="1"/>
    <xf numFmtId="0" fontId="0" fillId="5" borderId="38" xfId="0" applyFill="1" applyBorder="1" applyAlignment="1"/>
    <xf numFmtId="0" fontId="0" fillId="10" borderId="40" xfId="0" applyFill="1" applyBorder="1" applyAlignment="1"/>
    <xf numFmtId="176" fontId="5" fillId="10" borderId="41" xfId="0" applyNumberFormat="1" applyFont="1" applyFill="1" applyBorder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10" borderId="8" xfId="0" applyFont="1" applyFill="1" applyBorder="1"/>
    <xf numFmtId="176" fontId="5" fillId="10" borderId="8" xfId="0" applyNumberFormat="1" applyFont="1" applyFill="1" applyBorder="1"/>
    <xf numFmtId="176" fontId="5" fillId="10" borderId="22" xfId="0" applyNumberFormat="1" applyFont="1" applyFill="1" applyBorder="1"/>
    <xf numFmtId="0" fontId="0" fillId="5" borderId="24" xfId="0" applyFill="1" applyBorder="1" applyAlignment="1"/>
    <xf numFmtId="0" fontId="8" fillId="5" borderId="24" xfId="0" applyFont="1" applyFill="1" applyBorder="1" applyAlignment="1">
      <alignment vertical="center"/>
    </xf>
    <xf numFmtId="0" fontId="0" fillId="5" borderId="24" xfId="0" applyFill="1" applyBorder="1" applyAlignment="1">
      <alignment vertical="center"/>
    </xf>
    <xf numFmtId="0" fontId="5" fillId="11" borderId="7" xfId="0" applyFont="1" applyFill="1" applyBorder="1"/>
    <xf numFmtId="176" fontId="5" fillId="11" borderId="7" xfId="0" applyNumberFormat="1" applyFont="1" applyFill="1" applyBorder="1"/>
    <xf numFmtId="176" fontId="5" fillId="11" borderId="15" xfId="0" applyNumberFormat="1" applyFont="1" applyFill="1" applyBorder="1"/>
    <xf numFmtId="0" fontId="5" fillId="11" borderId="8" xfId="0" applyFont="1" applyFill="1" applyBorder="1"/>
    <xf numFmtId="176" fontId="5" fillId="11" borderId="8" xfId="0" applyNumberFormat="1" applyFont="1" applyFill="1" applyBorder="1"/>
    <xf numFmtId="176" fontId="5" fillId="11" borderId="22" xfId="0" applyNumberFormat="1" applyFont="1" applyFill="1" applyBorder="1"/>
    <xf numFmtId="0" fontId="5" fillId="12" borderId="7" xfId="0" applyFont="1" applyFill="1" applyBorder="1"/>
    <xf numFmtId="176" fontId="5" fillId="12" borderId="7" xfId="0" applyNumberFormat="1" applyFont="1" applyFill="1" applyBorder="1"/>
    <xf numFmtId="176" fontId="5" fillId="12" borderId="15" xfId="0" applyNumberFormat="1" applyFont="1" applyFill="1" applyBorder="1"/>
    <xf numFmtId="0" fontId="5" fillId="12" borderId="8" xfId="0" applyFont="1" applyFill="1" applyBorder="1"/>
    <xf numFmtId="176" fontId="5" fillId="12" borderId="8" xfId="0" applyNumberFormat="1" applyFont="1" applyFill="1" applyBorder="1"/>
    <xf numFmtId="176" fontId="5" fillId="12" borderId="22" xfId="0" applyNumberFormat="1" applyFont="1" applyFill="1" applyBorder="1"/>
    <xf numFmtId="176" fontId="5" fillId="12" borderId="34" xfId="0" applyNumberFormat="1" applyFont="1" applyFill="1" applyBorder="1"/>
    <xf numFmtId="0" fontId="0" fillId="0" borderId="34" xfId="0" applyBorder="1"/>
    <xf numFmtId="0" fontId="0" fillId="7" borderId="34" xfId="0" applyFill="1" applyBorder="1" applyAlignment="1"/>
    <xf numFmtId="0" fontId="0" fillId="0" borderId="34" xfId="0" applyBorder="1" applyAlignment="1"/>
    <xf numFmtId="0" fontId="0" fillId="0" borderId="34" xfId="0" applyFill="1" applyBorder="1" applyAlignment="1"/>
    <xf numFmtId="0" fontId="0" fillId="7" borderId="43" xfId="0" applyFill="1" applyBorder="1" applyAlignment="1"/>
    <xf numFmtId="176" fontId="5" fillId="10" borderId="43" xfId="0" applyNumberFormat="1" applyFont="1" applyFill="1" applyBorder="1"/>
    <xf numFmtId="0" fontId="0" fillId="0" borderId="35" xfId="0" applyFill="1" applyBorder="1" applyAlignment="1"/>
    <xf numFmtId="0" fontId="0" fillId="7" borderId="36" xfId="0" applyFill="1" applyBorder="1" applyAlignment="1"/>
    <xf numFmtId="0" fontId="0" fillId="0" borderId="36" xfId="0" applyFill="1" applyBorder="1" applyAlignment="1"/>
    <xf numFmtId="0" fontId="0" fillId="7" borderId="37" xfId="0" applyFill="1" applyBorder="1" applyAlignment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7" borderId="44" xfId="0" applyFill="1" applyBorder="1" applyAlignment="1"/>
    <xf numFmtId="0" fontId="0" fillId="0" borderId="43" xfId="0" applyBorder="1"/>
    <xf numFmtId="0" fontId="0" fillId="0" borderId="45" xfId="0" applyBorder="1"/>
  </cellXfs>
  <cellStyles count="30">
    <cellStyle name="Normal" xfId="0" builtinId="0"/>
    <cellStyle name="Normal 10" xfId="9" xr:uid="{76F43CC8-FC79-4D8C-93F7-60A4CEA4B7B3}"/>
    <cellStyle name="Normal 11" xfId="10" xr:uid="{40DC62AA-8845-4499-89AB-400D5AAA57F7}"/>
    <cellStyle name="Normal 12" xfId="11" xr:uid="{397C7CCB-E23D-4459-B0DF-CDAB383D46E3}"/>
    <cellStyle name="Normal 13" xfId="12" xr:uid="{FE722DBC-9D51-41E8-87BC-DF9BD11846FA}"/>
    <cellStyle name="Normal 14" xfId="13" xr:uid="{258F35CE-9118-4095-8392-4AB8A3A01B6E}"/>
    <cellStyle name="Normal 15" xfId="14" xr:uid="{90ED4460-FB19-48CE-90CE-84B14E568500}"/>
    <cellStyle name="Normal 16" xfId="15" xr:uid="{ACB7B8D6-6E4C-412B-ABD8-02549295358A}"/>
    <cellStyle name="Normal 17" xfId="16" xr:uid="{82F7BA64-97F5-443C-999A-01AE6607C677}"/>
    <cellStyle name="Normal 18" xfId="17" xr:uid="{86888D47-83A8-4FF8-AB1D-42A1F3BD9D7A}"/>
    <cellStyle name="Normal 19" xfId="18" xr:uid="{27CC312A-6302-47CB-BE7A-A640E078E915}"/>
    <cellStyle name="Normal 2" xfId="1" xr:uid="{239640A3-4FBE-4270-A4C2-BF98B77E315B}"/>
    <cellStyle name="Normal 20" xfId="19" xr:uid="{FEA8D025-FDD0-4520-868A-0555C0F3384D}"/>
    <cellStyle name="Normal 21" xfId="20" xr:uid="{040C39D6-20A0-4FBD-86C8-A4525E245347}"/>
    <cellStyle name="Normal 22" xfId="21" xr:uid="{B5697EAA-943E-43AE-BC14-34D7B3F012B3}"/>
    <cellStyle name="Normal 23" xfId="22" xr:uid="{79F2557D-70F1-4548-B173-296104EC98A4}"/>
    <cellStyle name="Normal 24" xfId="23" xr:uid="{8CD7DDD5-6941-4208-9234-74C8A7479B7D}"/>
    <cellStyle name="Normal 25" xfId="24" xr:uid="{BE3B90F5-E586-40EA-B310-EC5D7CC7FAAE}"/>
    <cellStyle name="Normal 26" xfId="25" xr:uid="{8AA2A8AD-5AA3-4D25-9DBC-5182749C8A01}"/>
    <cellStyle name="Normal 27" xfId="26" xr:uid="{786148DA-353A-454C-B46E-E4C612CD3B67}"/>
    <cellStyle name="Normal 28" xfId="27" xr:uid="{4391F9E9-338B-4106-9947-D56EE2A4B3BB}"/>
    <cellStyle name="Normal 29" xfId="28" xr:uid="{43CF11CE-EB14-459D-B4FD-949BC8CCFA89}"/>
    <cellStyle name="Normal 3" xfId="2" xr:uid="{DD82774A-FD8A-4C74-B531-10D11BD0A6D9}"/>
    <cellStyle name="Normal 30" xfId="29" xr:uid="{261809E0-9D02-45BB-BD44-62FF12BA1E6B}"/>
    <cellStyle name="Normal 4" xfId="3" xr:uid="{548B57FF-84A9-44BB-8766-3D922A157F32}"/>
    <cellStyle name="Normal 5" xfId="4" xr:uid="{2ED97AB1-600C-4328-A5A8-33F46532ED53}"/>
    <cellStyle name="Normal 6" xfId="5" xr:uid="{1F8A834A-11F4-43B9-884B-334D5D7519BA}"/>
    <cellStyle name="Normal 7" xfId="6" xr:uid="{E8638900-3BC4-4F81-B326-EC472C61CE16}"/>
    <cellStyle name="Normal 8" xfId="7" xr:uid="{EC3BAFA6-ED51-4F23-A91E-525ACC5D715C}"/>
    <cellStyle name="Normal 9" xfId="8" xr:uid="{22A7541A-9779-44AD-B226-3668CA751FFF}"/>
  </cellStyles>
  <dxfs count="2"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cAllResourceRuns" displayName="StaticAllResourceRuns" ref="B1:W21" totalsRowShown="0">
  <tableColumns count="22">
    <tableColumn id="1" xr3:uid="{00000000-0010-0000-0100-000001000000}" name="Dataset" dataDxfId="1"/>
    <tableColumn id="2" xr3:uid="{00000000-0010-0000-0100-000002000000}" name="Run"/>
    <tableColumn id="3" xr3:uid="{00000000-0010-0000-0100-000003000000}" name="Elapsed time"/>
    <tableColumn id="4" xr3:uid="{00000000-0010-0000-0100-000004000000}" name="Latency per image"/>
    <tableColumn id="5" xr3:uid="{00000000-0010-0000-0100-000005000000}" name="Throughput"/>
    <tableColumn id="6" xr3:uid="{00000000-0010-0000-0100-000006000000}" name="Average CPU utilization"/>
    <tableColumn id="7" xr3:uid="{00000000-0010-0000-0100-000007000000}" name="Peak CPU utilization"/>
    <tableColumn id="8" xr3:uid="{00000000-0010-0000-0100-000008000000}" name="Baseline RAM"/>
    <tableColumn id="9" xr3:uid="{00000000-0010-0000-0100-000009000000}" name="Average RAM"/>
    <tableColumn id="10" xr3:uid="{00000000-0010-0000-0100-00000A000000}" name="Peak RAM"/>
    <tableColumn id="11" xr3:uid="{00000000-0010-0000-0100-00000B000000}" name="Average incremental RAM"/>
    <tableColumn id="12" xr3:uid="{00000000-0010-0000-0100-00000C000000}" name="Peak incremental RAM"/>
    <tableColumn id="13" xr3:uid="{00000000-0010-0000-0100-00000D000000}" name="Baseline GPU memory"/>
    <tableColumn id="14" xr3:uid="{00000000-0010-0000-0100-00000E000000}" name="Average GPU memory"/>
    <tableColumn id="15" xr3:uid="{00000000-0010-0000-0100-00000F000000}" name="Peak GPU memory"/>
    <tableColumn id="16" xr3:uid="{00000000-0010-0000-0100-000010000000}" name="Average incremental GPU memory"/>
    <tableColumn id="17" xr3:uid="{00000000-0010-0000-0100-000011000000}" name="Peak incremental GPU memory"/>
    <tableColumn id="18" xr3:uid="{00000000-0010-0000-0100-000012000000}" name="Average GPU utilization"/>
    <tableColumn id="19" xr3:uid="{00000000-0010-0000-0100-000013000000}" name="Peak GPU utilization"/>
    <tableColumn id="20" xr3:uid="{00000000-0010-0000-0100-000014000000}" name="Average GPU power"/>
    <tableColumn id="21" xr3:uid="{00000000-0010-0000-0100-000015000000}" name="Peak GPU power"/>
    <tableColumn id="22" xr3:uid="{00000000-0010-0000-0100-000016000000}" name="GPU energ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icKeyResourceRuns" displayName="StaticKeyResourceRuns" ref="B1:K221" totalsRowShown="0">
  <tableColumns count="10">
    <tableColumn id="1" xr3:uid="{00000000-0010-0000-0200-000001000000}" name="Dataset"/>
    <tableColumn id="2" xr3:uid="{00000000-0010-0000-0200-000002000000}" name="Run"/>
    <tableColumn id="3" xr3:uid="{00000000-0010-0000-0200-000003000000}" name="Elapsed Time (s)"/>
    <tableColumn id="4" xr3:uid="{00000000-0010-0000-0200-000004000000}" name="Latency (ms/image)"/>
    <tableColumn id="5" xr3:uid="{00000000-0010-0000-0200-000005000000}" name="Throughput (images/s)"/>
    <tableColumn id="6" xr3:uid="{00000000-0010-0000-0200-000006000000}" name="Peak RAM (MB)"/>
    <tableColumn id="7" xr3:uid="{00000000-0010-0000-0200-000007000000}" name="Peak GPU Memory (MB)"/>
    <tableColumn id="8" xr3:uid="{00000000-0010-0000-0200-000008000000}" name="Avg GPU Utilization (%)"/>
    <tableColumn id="9" xr3:uid="{00000000-0010-0000-0200-000009000000}" name="Avg GPU Power (W)"/>
    <tableColumn id="10" xr3:uid="{00000000-0010-0000-0200-00000A000000}" name="GPU Energy (Wh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icResourceSummary" displayName="StaticResourceSummary" ref="B1:B2" totalsRowShown="0">
  <tableColumns count="1">
    <tableColumn id="1" xr3:uid="{00000000-0010-0000-0000-000001000000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21"/>
  <sheetViews>
    <sheetView workbookViewId="0">
      <selection activeCell="G11" sqref="G11"/>
    </sheetView>
  </sheetViews>
  <sheetFormatPr defaultRowHeight="14"/>
  <cols>
    <col min="2" max="2" width="18" customWidth="1"/>
    <col min="3" max="3" width="8" customWidth="1"/>
    <col min="4" max="23" width="16" customWidth="1"/>
  </cols>
  <sheetData>
    <row r="1" spans="1:23" ht="42.5" thickBot="1">
      <c r="A1" s="13" t="s">
        <v>61</v>
      </c>
      <c r="B1" s="14" t="s">
        <v>60</v>
      </c>
      <c r="C1" s="14" t="s">
        <v>38</v>
      </c>
      <c r="D1" s="14" t="s">
        <v>6</v>
      </c>
      <c r="E1" s="14" t="s">
        <v>8</v>
      </c>
      <c r="F1" s="14" t="s">
        <v>10</v>
      </c>
      <c r="G1" s="14" t="s">
        <v>12</v>
      </c>
      <c r="H1" s="14" t="s">
        <v>14</v>
      </c>
      <c r="I1" s="14" t="s">
        <v>15</v>
      </c>
      <c r="J1" s="14" t="s">
        <v>17</v>
      </c>
      <c r="K1" s="14" t="s">
        <v>18</v>
      </c>
      <c r="L1" s="14" t="s">
        <v>19</v>
      </c>
      <c r="M1" s="14" t="s">
        <v>20</v>
      </c>
      <c r="N1" s="14" t="s">
        <v>21</v>
      </c>
      <c r="O1" s="14" t="s">
        <v>22</v>
      </c>
      <c r="P1" s="14" t="s">
        <v>23</v>
      </c>
      <c r="Q1" s="14" t="s">
        <v>24</v>
      </c>
      <c r="R1" s="14" t="s">
        <v>25</v>
      </c>
      <c r="S1" s="14" t="s">
        <v>26</v>
      </c>
      <c r="T1" s="14" t="s">
        <v>27</v>
      </c>
      <c r="U1" s="14" t="s">
        <v>28</v>
      </c>
      <c r="V1" s="14" t="s">
        <v>30</v>
      </c>
      <c r="W1" s="14" t="s">
        <v>31</v>
      </c>
    </row>
    <row r="2" spans="1:23">
      <c r="A2" s="248" t="s">
        <v>62</v>
      </c>
      <c r="B2" s="39" t="s">
        <v>2</v>
      </c>
      <c r="C2" s="17">
        <v>1</v>
      </c>
      <c r="D2" s="18">
        <v>18.866985000000113</v>
      </c>
      <c r="E2" s="18">
        <v>1.0481658333333397</v>
      </c>
      <c r="F2" s="18">
        <v>954.04750679559515</v>
      </c>
      <c r="G2" s="18">
        <v>3.3069222383720924</v>
      </c>
      <c r="H2" s="18">
        <v>5.7718749999999996</v>
      </c>
      <c r="I2" s="18">
        <v>8322.2890625</v>
      </c>
      <c r="J2" s="18">
        <v>9656.158203125</v>
      </c>
      <c r="K2" s="18">
        <v>9680.3359375</v>
      </c>
      <c r="L2" s="18">
        <v>1333.869140625</v>
      </c>
      <c r="M2" s="18">
        <v>1358.046875</v>
      </c>
      <c r="N2" s="18">
        <v>7119.359375</v>
      </c>
      <c r="O2" s="18">
        <v>7119.359375</v>
      </c>
      <c r="P2" s="18">
        <v>7119.359375</v>
      </c>
      <c r="Q2" s="18">
        <v>0</v>
      </c>
      <c r="R2" s="18">
        <v>0</v>
      </c>
      <c r="S2" s="18">
        <v>88.732558139534888</v>
      </c>
      <c r="T2" s="18">
        <v>92</v>
      </c>
      <c r="U2" s="18">
        <v>76.725534883720925</v>
      </c>
      <c r="V2" s="18">
        <v>108.979</v>
      </c>
      <c r="W2" s="19">
        <v>0.40162902634043113</v>
      </c>
    </row>
    <row r="3" spans="1:23">
      <c r="A3" s="249"/>
      <c r="B3" s="40" t="s">
        <v>2</v>
      </c>
      <c r="C3" s="20">
        <v>2</v>
      </c>
      <c r="D3" s="4">
        <v>18.597194800000125</v>
      </c>
      <c r="E3" s="4">
        <v>1.0331774888888958</v>
      </c>
      <c r="F3" s="4">
        <v>967.88790963247209</v>
      </c>
      <c r="G3" s="4">
        <v>3.3548363095238094</v>
      </c>
      <c r="H3" s="4">
        <v>5.375</v>
      </c>
      <c r="I3" s="4">
        <v>8361.5390625</v>
      </c>
      <c r="J3" s="4">
        <v>9698.0808221726184</v>
      </c>
      <c r="K3" s="4">
        <v>9720.03515625</v>
      </c>
      <c r="L3" s="4">
        <v>1336.5417596726184</v>
      </c>
      <c r="M3" s="4">
        <v>1358.49609375</v>
      </c>
      <c r="N3" s="4">
        <v>7119.359375</v>
      </c>
      <c r="O3" s="4">
        <v>7119.359375</v>
      </c>
      <c r="P3" s="4">
        <v>7119.359375</v>
      </c>
      <c r="Q3" s="4">
        <v>0</v>
      </c>
      <c r="R3" s="4">
        <v>0</v>
      </c>
      <c r="S3" s="4">
        <v>89.726190476190482</v>
      </c>
      <c r="T3" s="4">
        <v>92</v>
      </c>
      <c r="U3" s="4">
        <v>76.937666666666672</v>
      </c>
      <c r="V3" s="4">
        <v>98.938000000000002</v>
      </c>
      <c r="W3" s="21">
        <v>0.3969347496596371</v>
      </c>
    </row>
    <row r="4" spans="1:23">
      <c r="A4" s="249"/>
      <c r="B4" s="40" t="s">
        <v>2</v>
      </c>
      <c r="C4" s="20">
        <v>3</v>
      </c>
      <c r="D4" s="4">
        <v>18.599820399999999</v>
      </c>
      <c r="E4" s="4">
        <v>1.0333233555555554</v>
      </c>
      <c r="F4" s="4">
        <v>967.75128000698339</v>
      </c>
      <c r="G4" s="4">
        <v>3.2764792899408284</v>
      </c>
      <c r="H4" s="4">
        <v>5.328125</v>
      </c>
      <c r="I4" s="4">
        <v>8363.3828125</v>
      </c>
      <c r="J4" s="4">
        <v>9699.0323594674555</v>
      </c>
      <c r="K4" s="4">
        <v>9720.828125</v>
      </c>
      <c r="L4" s="4">
        <v>1335.6495469674555</v>
      </c>
      <c r="M4" s="4">
        <v>1357.4453125</v>
      </c>
      <c r="N4" s="4">
        <v>7119.359375</v>
      </c>
      <c r="O4" s="4">
        <v>7119.359375</v>
      </c>
      <c r="P4" s="4">
        <v>7119.359375</v>
      </c>
      <c r="Q4" s="4">
        <v>0</v>
      </c>
      <c r="R4" s="4">
        <v>0</v>
      </c>
      <c r="S4" s="4">
        <v>89.710059171597635</v>
      </c>
      <c r="T4" s="4">
        <v>92</v>
      </c>
      <c r="U4" s="4">
        <v>77.047177514792892</v>
      </c>
      <c r="V4" s="4">
        <v>100.20099999999999</v>
      </c>
      <c r="W4" s="21">
        <v>0.39680695857644321</v>
      </c>
    </row>
    <row r="5" spans="1:23">
      <c r="A5" s="249"/>
      <c r="B5" s="40" t="s">
        <v>2</v>
      </c>
      <c r="C5" s="20">
        <v>4</v>
      </c>
      <c r="D5" s="4">
        <v>18.459322100000009</v>
      </c>
      <c r="E5" s="4">
        <v>1.0255178944444447</v>
      </c>
      <c r="F5" s="4">
        <v>975.11706564782196</v>
      </c>
      <c r="G5" s="4">
        <v>3.351201923076923</v>
      </c>
      <c r="H5" s="4">
        <v>7.1031250000000004</v>
      </c>
      <c r="I5" s="4">
        <v>8364.33203125</v>
      </c>
      <c r="J5" s="4">
        <v>9699.6370654585808</v>
      </c>
      <c r="K5" s="4">
        <v>9721.359375</v>
      </c>
      <c r="L5" s="4">
        <v>1335.3050342085808</v>
      </c>
      <c r="M5" s="4">
        <v>1357.02734375</v>
      </c>
      <c r="N5" s="4">
        <v>7119.359375</v>
      </c>
      <c r="O5" s="4">
        <v>7119.359375</v>
      </c>
      <c r="P5" s="4">
        <v>7119.359375</v>
      </c>
      <c r="Q5" s="4">
        <v>0</v>
      </c>
      <c r="R5" s="4">
        <v>0</v>
      </c>
      <c r="S5" s="4">
        <v>89.562130177514788</v>
      </c>
      <c r="T5" s="4">
        <v>92</v>
      </c>
      <c r="U5" s="4">
        <v>77.114591715976346</v>
      </c>
      <c r="V5" s="4">
        <v>94.555999999999997</v>
      </c>
      <c r="W5" s="21">
        <v>0.39573228180955827</v>
      </c>
    </row>
    <row r="6" spans="1:23" ht="14.5" thickBot="1">
      <c r="A6" s="249"/>
      <c r="B6" s="40" t="s">
        <v>2</v>
      </c>
      <c r="C6" s="20">
        <v>5</v>
      </c>
      <c r="D6" s="4">
        <v>18.691099800000075</v>
      </c>
      <c r="E6" s="4">
        <v>1.0383944333333375</v>
      </c>
      <c r="F6" s="4">
        <v>963.0251934131735</v>
      </c>
      <c r="G6" s="4">
        <v>3.3404227941176474</v>
      </c>
      <c r="H6" s="4">
        <v>6.2718749999999996</v>
      </c>
      <c r="I6" s="4">
        <v>8364.640625</v>
      </c>
      <c r="J6" s="4">
        <v>9700.7205652573521</v>
      </c>
      <c r="K6" s="4">
        <v>9723.36328125</v>
      </c>
      <c r="L6" s="4">
        <v>1336.0799402573521</v>
      </c>
      <c r="M6" s="4">
        <v>1358.72265625</v>
      </c>
      <c r="N6" s="4">
        <v>7119.359375</v>
      </c>
      <c r="O6" s="4">
        <v>7119.359375</v>
      </c>
      <c r="P6" s="4">
        <v>7119.359375</v>
      </c>
      <c r="Q6" s="4">
        <v>0</v>
      </c>
      <c r="R6" s="4">
        <v>0</v>
      </c>
      <c r="S6" s="4">
        <v>90.341176470588238</v>
      </c>
      <c r="T6" s="4">
        <v>100</v>
      </c>
      <c r="U6" s="4">
        <v>76.810194117647058</v>
      </c>
      <c r="V6" s="4">
        <v>95.069000000000003</v>
      </c>
      <c r="W6" s="21">
        <v>0.39578987509811026</v>
      </c>
    </row>
    <row r="7" spans="1:23">
      <c r="A7" s="249"/>
      <c r="B7" s="39" t="s">
        <v>3</v>
      </c>
      <c r="C7" s="17">
        <v>1</v>
      </c>
      <c r="D7" s="18">
        <v>6.5197186999999985</v>
      </c>
      <c r="E7" s="18">
        <v>1.0937290219761784</v>
      </c>
      <c r="F7" s="18">
        <v>914.30325053748118</v>
      </c>
      <c r="G7" s="18">
        <v>3.1506249999999998</v>
      </c>
      <c r="H7" s="18">
        <v>5.8250000000000002</v>
      </c>
      <c r="I7" s="18">
        <v>6848.00390625</v>
      </c>
      <c r="J7" s="18">
        <v>7322.513997395833</v>
      </c>
      <c r="K7" s="18">
        <v>7345.21484375</v>
      </c>
      <c r="L7" s="18">
        <v>474.51009114583303</v>
      </c>
      <c r="M7" s="18">
        <v>497.2109375</v>
      </c>
      <c r="N7" s="18">
        <v>7119.359375</v>
      </c>
      <c r="O7" s="18">
        <v>7119.359375</v>
      </c>
      <c r="P7" s="18">
        <v>7119.359375</v>
      </c>
      <c r="Q7" s="18">
        <v>0</v>
      </c>
      <c r="R7" s="18">
        <v>0</v>
      </c>
      <c r="S7" s="18">
        <v>81.483333333333334</v>
      </c>
      <c r="T7" s="18">
        <v>100</v>
      </c>
      <c r="U7" s="18">
        <v>67.896050000000002</v>
      </c>
      <c r="V7" s="18">
        <v>84.355000000000004</v>
      </c>
      <c r="W7" s="19">
        <v>0.12050422753556983</v>
      </c>
    </row>
    <row r="8" spans="1:23">
      <c r="A8" s="249"/>
      <c r="B8" s="40" t="s">
        <v>3</v>
      </c>
      <c r="C8" s="20">
        <v>2</v>
      </c>
      <c r="D8" s="4">
        <v>5.8819889000000103</v>
      </c>
      <c r="E8" s="4">
        <v>0.98674532796510828</v>
      </c>
      <c r="F8" s="4">
        <v>1013.4327183106363</v>
      </c>
      <c r="G8" s="4">
        <v>3.2573102678571426</v>
      </c>
      <c r="H8" s="4">
        <v>5.375</v>
      </c>
      <c r="I8" s="4">
        <v>6877.92578125</v>
      </c>
      <c r="J8" s="4">
        <v>7333.5618722098216</v>
      </c>
      <c r="K8" s="4">
        <v>7353.9140625</v>
      </c>
      <c r="L8" s="4">
        <v>455.63609095982156</v>
      </c>
      <c r="M8" s="4">
        <v>475.98828125</v>
      </c>
      <c r="N8" s="4">
        <v>7119.359375</v>
      </c>
      <c r="O8" s="4">
        <v>7119.359375</v>
      </c>
      <c r="P8" s="4">
        <v>7119.359375</v>
      </c>
      <c r="Q8" s="4">
        <v>0</v>
      </c>
      <c r="R8" s="4">
        <v>0</v>
      </c>
      <c r="S8" s="4">
        <v>85.053571428571431</v>
      </c>
      <c r="T8" s="4">
        <v>91</v>
      </c>
      <c r="U8" s="4">
        <v>71.292107142857148</v>
      </c>
      <c r="V8" s="4">
        <v>84.203999999999994</v>
      </c>
      <c r="W8" s="21">
        <v>0.11753671374543077</v>
      </c>
    </row>
    <row r="9" spans="1:23">
      <c r="A9" s="249"/>
      <c r="B9" s="40" t="s">
        <v>3</v>
      </c>
      <c r="C9" s="20">
        <v>3</v>
      </c>
      <c r="D9" s="4">
        <v>5.9782321000000138</v>
      </c>
      <c r="E9" s="4">
        <v>1.0028908069115945</v>
      </c>
      <c r="F9" s="4">
        <v>997.11752576484719</v>
      </c>
      <c r="G9" s="4">
        <v>3.1747767857142857</v>
      </c>
      <c r="H9" s="4">
        <v>5.328125</v>
      </c>
      <c r="I9" s="4">
        <v>6879.265625</v>
      </c>
      <c r="J9" s="4">
        <v>7333.92626953125</v>
      </c>
      <c r="K9" s="4">
        <v>7354.390625</v>
      </c>
      <c r="L9" s="4">
        <v>454.66064453125</v>
      </c>
      <c r="M9" s="4">
        <v>475.125</v>
      </c>
      <c r="N9" s="4">
        <v>7119.359375</v>
      </c>
      <c r="O9" s="4">
        <v>7119.359375</v>
      </c>
      <c r="P9" s="4">
        <v>7119.359375</v>
      </c>
      <c r="Q9" s="4">
        <v>0</v>
      </c>
      <c r="R9" s="4">
        <v>0</v>
      </c>
      <c r="S9" s="4">
        <v>85.517857142857139</v>
      </c>
      <c r="T9" s="4">
        <v>91</v>
      </c>
      <c r="U9" s="4">
        <v>71.468285714285713</v>
      </c>
      <c r="V9" s="4">
        <v>87.100999999999999</v>
      </c>
      <c r="W9" s="21">
        <v>0.11864877274219421</v>
      </c>
    </row>
    <row r="10" spans="1:23">
      <c r="A10" s="249"/>
      <c r="B10" s="40" t="s">
        <v>3</v>
      </c>
      <c r="C10" s="20">
        <v>4</v>
      </c>
      <c r="D10" s="4">
        <v>5.9492317999998932</v>
      </c>
      <c r="E10" s="4">
        <v>0.9980258010400761</v>
      </c>
      <c r="F10" s="4">
        <v>1001.9781041310421</v>
      </c>
      <c r="G10" s="4">
        <v>3.2886931818181817</v>
      </c>
      <c r="H10" s="4">
        <v>5.7718749999999996</v>
      </c>
      <c r="I10" s="4">
        <v>6879.71875</v>
      </c>
      <c r="J10" s="4">
        <v>7335.3840198863636</v>
      </c>
      <c r="K10" s="4">
        <v>7355.6015625</v>
      </c>
      <c r="L10" s="4">
        <v>455.6652698863636</v>
      </c>
      <c r="M10" s="4">
        <v>475.8828125</v>
      </c>
      <c r="N10" s="4">
        <v>7119.359375</v>
      </c>
      <c r="O10" s="4">
        <v>7119.359375</v>
      </c>
      <c r="P10" s="4">
        <v>7119.359375</v>
      </c>
      <c r="Q10" s="4">
        <v>0</v>
      </c>
      <c r="R10" s="4">
        <v>0</v>
      </c>
      <c r="S10" s="4">
        <v>85.963636363636368</v>
      </c>
      <c r="T10" s="4">
        <v>93</v>
      </c>
      <c r="U10" s="4">
        <v>69.589781818181805</v>
      </c>
      <c r="V10" s="4">
        <v>84.122</v>
      </c>
      <c r="W10" s="21">
        <v>0.11632345060015194</v>
      </c>
    </row>
    <row r="11" spans="1:23" ht="14.5" thickBot="1">
      <c r="A11" s="249"/>
      <c r="B11" s="41" t="s">
        <v>3</v>
      </c>
      <c r="C11" s="22">
        <v>5</v>
      </c>
      <c r="D11" s="23">
        <v>6.2244621999999481</v>
      </c>
      <c r="E11" s="23">
        <v>1.0441976514007629</v>
      </c>
      <c r="F11" s="23">
        <v>957.67309824775703</v>
      </c>
      <c r="G11" s="23">
        <v>3.5174788135593227</v>
      </c>
      <c r="H11" s="23">
        <v>9.765625</v>
      </c>
      <c r="I11" s="23">
        <v>6881.046875</v>
      </c>
      <c r="J11" s="23">
        <v>7336.7087526483047</v>
      </c>
      <c r="K11" s="23">
        <v>7356.15625</v>
      </c>
      <c r="L11" s="23">
        <v>455.66187764830465</v>
      </c>
      <c r="M11" s="23">
        <v>475.109375</v>
      </c>
      <c r="N11" s="23">
        <v>7119.359375</v>
      </c>
      <c r="O11" s="23">
        <v>7119.359375</v>
      </c>
      <c r="P11" s="23">
        <v>7119.359375</v>
      </c>
      <c r="Q11" s="23">
        <v>0</v>
      </c>
      <c r="R11" s="23">
        <v>0</v>
      </c>
      <c r="S11" s="23">
        <v>86.627118644067792</v>
      </c>
      <c r="T11" s="23">
        <v>94</v>
      </c>
      <c r="U11" s="23">
        <v>69.633135593220331</v>
      </c>
      <c r="V11" s="23">
        <v>102.559</v>
      </c>
      <c r="W11" s="24">
        <v>0.12163588083654296</v>
      </c>
    </row>
    <row r="12" spans="1:23">
      <c r="A12" s="249"/>
      <c r="B12" s="40" t="s">
        <v>4</v>
      </c>
      <c r="C12" s="20">
        <v>1</v>
      </c>
      <c r="D12" s="4">
        <v>3.5561226000000374</v>
      </c>
      <c r="E12" s="4">
        <v>1.1853742000000125</v>
      </c>
      <c r="F12" s="4">
        <v>843.61545915204624</v>
      </c>
      <c r="G12" s="4">
        <v>2.9962316176470587</v>
      </c>
      <c r="H12" s="4">
        <v>4.4781250000000004</v>
      </c>
      <c r="I12" s="4">
        <v>6130.4140625</v>
      </c>
      <c r="J12" s="4">
        <v>6380.3392693014703</v>
      </c>
      <c r="K12" s="4">
        <v>6407.34375</v>
      </c>
      <c r="L12" s="4">
        <v>249.92520680147027</v>
      </c>
      <c r="M12" s="4">
        <v>276.9296875</v>
      </c>
      <c r="N12" s="4">
        <v>7119.359375</v>
      </c>
      <c r="O12" s="4">
        <v>7119.359375</v>
      </c>
      <c r="P12" s="4">
        <v>7119.359375</v>
      </c>
      <c r="Q12" s="4">
        <v>0</v>
      </c>
      <c r="R12" s="4">
        <v>0</v>
      </c>
      <c r="S12" s="4">
        <v>73.617647058823536</v>
      </c>
      <c r="T12" s="4">
        <v>90</v>
      </c>
      <c r="U12" s="4">
        <v>54.466235294117652</v>
      </c>
      <c r="V12" s="4">
        <v>82.718000000000004</v>
      </c>
      <c r="W12" s="21">
        <v>5.3356852397041334E-2</v>
      </c>
    </row>
    <row r="13" spans="1:23">
      <c r="A13" s="249"/>
      <c r="B13" s="40" t="s">
        <v>4</v>
      </c>
      <c r="C13" s="20">
        <v>2</v>
      </c>
      <c r="D13" s="4">
        <v>3.1359989000000041</v>
      </c>
      <c r="E13" s="4">
        <v>1.0453329666666682</v>
      </c>
      <c r="F13" s="4">
        <v>956.63298861488636</v>
      </c>
      <c r="G13" s="4">
        <v>3.1862903225806454</v>
      </c>
      <c r="H13" s="4">
        <v>4.7249999999999996</v>
      </c>
      <c r="I13" s="4">
        <v>6149.23828125</v>
      </c>
      <c r="J13" s="4">
        <v>6385.6972026209678</v>
      </c>
      <c r="K13" s="4">
        <v>6407.41015625</v>
      </c>
      <c r="L13" s="4">
        <v>236.4589213709678</v>
      </c>
      <c r="M13" s="4">
        <v>258.171875</v>
      </c>
      <c r="N13" s="4">
        <v>7119.359375</v>
      </c>
      <c r="O13" s="4">
        <v>7119.359375</v>
      </c>
      <c r="P13" s="4">
        <v>7119.359375</v>
      </c>
      <c r="Q13" s="4">
        <v>0</v>
      </c>
      <c r="R13" s="4">
        <v>0</v>
      </c>
      <c r="S13" s="4">
        <v>81.58064516129032</v>
      </c>
      <c r="T13" s="4">
        <v>92</v>
      </c>
      <c r="U13" s="4">
        <v>58.230806451612899</v>
      </c>
      <c r="V13" s="4">
        <v>83.364999999999995</v>
      </c>
      <c r="W13" s="21">
        <v>5.1546254401430423E-2</v>
      </c>
    </row>
    <row r="14" spans="1:23">
      <c r="A14" s="249"/>
      <c r="B14" s="40" t="s">
        <v>4</v>
      </c>
      <c r="C14" s="20">
        <v>3</v>
      </c>
      <c r="D14" s="4">
        <v>3.2436693000000218</v>
      </c>
      <c r="E14" s="4">
        <v>1.0812231000000072</v>
      </c>
      <c r="F14" s="4">
        <v>924.87850102351058</v>
      </c>
      <c r="G14" s="4">
        <v>3.03466796875</v>
      </c>
      <c r="H14" s="4">
        <v>4.8843750000000004</v>
      </c>
      <c r="I14" s="4">
        <v>6149.92578125</v>
      </c>
      <c r="J14" s="4">
        <v>6388.5216064453125</v>
      </c>
      <c r="K14" s="4">
        <v>6409.34765625</v>
      </c>
      <c r="L14" s="4">
        <v>238.5958251953125</v>
      </c>
      <c r="M14" s="4">
        <v>259.421875</v>
      </c>
      <c r="N14" s="4">
        <v>7119.359375</v>
      </c>
      <c r="O14" s="4">
        <v>7119.359375</v>
      </c>
      <c r="P14" s="4">
        <v>7119.359375</v>
      </c>
      <c r="Q14" s="4">
        <v>0</v>
      </c>
      <c r="R14" s="4">
        <v>0</v>
      </c>
      <c r="S14" s="4">
        <v>80.625</v>
      </c>
      <c r="T14" s="4">
        <v>98</v>
      </c>
      <c r="U14" s="4">
        <v>56.547250000000005</v>
      </c>
      <c r="V14" s="4">
        <v>82.956000000000003</v>
      </c>
      <c r="W14" s="21">
        <v>5.1395075393541143E-2</v>
      </c>
    </row>
    <row r="15" spans="1:23">
      <c r="A15" s="249"/>
      <c r="B15" s="40" t="s">
        <v>4</v>
      </c>
      <c r="C15" s="20">
        <v>4</v>
      </c>
      <c r="D15" s="4">
        <v>3.0878178000000389</v>
      </c>
      <c r="E15" s="4">
        <v>1.029272600000013</v>
      </c>
      <c r="F15" s="4">
        <v>971.55991522555576</v>
      </c>
      <c r="G15" s="4">
        <v>3.1301041666666669</v>
      </c>
      <c r="H15" s="4">
        <v>5.25</v>
      </c>
      <c r="I15" s="4">
        <v>6151.88671875</v>
      </c>
      <c r="J15" s="4">
        <v>6389.3123697916662</v>
      </c>
      <c r="K15" s="4">
        <v>6410.5078125</v>
      </c>
      <c r="L15" s="4">
        <v>237.42565104166624</v>
      </c>
      <c r="M15" s="4">
        <v>258.62109375</v>
      </c>
      <c r="N15" s="4">
        <v>7119.359375</v>
      </c>
      <c r="O15" s="4">
        <v>7119.359375</v>
      </c>
      <c r="P15" s="4">
        <v>7119.359375</v>
      </c>
      <c r="Q15" s="4">
        <v>0</v>
      </c>
      <c r="R15" s="4">
        <v>0</v>
      </c>
      <c r="S15" s="4">
        <v>81.166666666666671</v>
      </c>
      <c r="T15" s="4">
        <v>93</v>
      </c>
      <c r="U15" s="4">
        <v>57.398133333333327</v>
      </c>
      <c r="V15" s="4">
        <v>83.388000000000005</v>
      </c>
      <c r="W15" s="21">
        <v>5.0473719801792209E-2</v>
      </c>
    </row>
    <row r="16" spans="1:23" ht="14.5" thickBot="1">
      <c r="A16" s="249"/>
      <c r="B16" s="41" t="s">
        <v>4</v>
      </c>
      <c r="C16" s="22">
        <v>5</v>
      </c>
      <c r="D16" s="23">
        <v>3.0995050999999876</v>
      </c>
      <c r="E16" s="23">
        <v>1.0331683666666627</v>
      </c>
      <c r="F16" s="23">
        <v>967.89645546962061</v>
      </c>
      <c r="G16" s="23">
        <v>3.1647916666666664</v>
      </c>
      <c r="H16" s="23">
        <v>5.328125</v>
      </c>
      <c r="I16" s="23">
        <v>6152.87109375</v>
      </c>
      <c r="J16" s="23">
        <v>6390.0210937499996</v>
      </c>
      <c r="K16" s="23">
        <v>6411.03515625</v>
      </c>
      <c r="L16" s="23">
        <v>237.14999999999964</v>
      </c>
      <c r="M16" s="23">
        <v>258.1640625</v>
      </c>
      <c r="N16" s="23">
        <v>7119.359375</v>
      </c>
      <c r="O16" s="23">
        <v>7119.359375</v>
      </c>
      <c r="P16" s="23">
        <v>7119.359375</v>
      </c>
      <c r="Q16" s="23">
        <v>0</v>
      </c>
      <c r="R16" s="23">
        <v>0</v>
      </c>
      <c r="S16" s="23">
        <v>81.266666666666666</v>
      </c>
      <c r="T16" s="23">
        <v>92</v>
      </c>
      <c r="U16" s="23">
        <v>57.091499999999996</v>
      </c>
      <c r="V16" s="23">
        <v>83.085999999999999</v>
      </c>
      <c r="W16" s="24">
        <v>5.0499738979652598E-2</v>
      </c>
    </row>
    <row r="17" spans="1:23">
      <c r="A17" s="249"/>
      <c r="B17" s="39" t="s">
        <v>5</v>
      </c>
      <c r="C17" s="17">
        <v>1</v>
      </c>
      <c r="D17" s="18">
        <v>3.1084937999999909</v>
      </c>
      <c r="E17" s="18">
        <v>1.2559570909090871</v>
      </c>
      <c r="F17" s="18">
        <v>796.20554494913495</v>
      </c>
      <c r="G17" s="18">
        <v>3.2242708333333328</v>
      </c>
      <c r="H17" s="18">
        <v>4.7249999999999996</v>
      </c>
      <c r="I17" s="18">
        <v>5103.36328125</v>
      </c>
      <c r="J17" s="18">
        <v>5316.5139322916666</v>
      </c>
      <c r="K17" s="18">
        <v>5343.41796875</v>
      </c>
      <c r="L17" s="18">
        <v>213.15065104166661</v>
      </c>
      <c r="M17" s="18">
        <v>240.0546875</v>
      </c>
      <c r="N17" s="18">
        <v>7119.359375</v>
      </c>
      <c r="O17" s="18">
        <v>7119.359375</v>
      </c>
      <c r="P17" s="18">
        <v>7119.359375</v>
      </c>
      <c r="Q17" s="18">
        <v>0</v>
      </c>
      <c r="R17" s="18">
        <v>0</v>
      </c>
      <c r="S17" s="18">
        <v>77.63333333333334</v>
      </c>
      <c r="T17" s="18">
        <v>93</v>
      </c>
      <c r="U17" s="18">
        <v>51.145133333333327</v>
      </c>
      <c r="V17" s="18">
        <v>82.105999999999995</v>
      </c>
      <c r="W17" s="19">
        <v>4.3371343101972284E-2</v>
      </c>
    </row>
    <row r="18" spans="1:23">
      <c r="A18" s="249"/>
      <c r="B18" s="40" t="s">
        <v>5</v>
      </c>
      <c r="C18" s="20">
        <v>2</v>
      </c>
      <c r="D18" s="4">
        <v>2.826293899999996</v>
      </c>
      <c r="E18" s="4">
        <v>1.1419369292929276</v>
      </c>
      <c r="F18" s="4">
        <v>875.70510625239774</v>
      </c>
      <c r="G18" s="4">
        <v>3.0707589285714292</v>
      </c>
      <c r="H18" s="4">
        <v>4.9281249999999996</v>
      </c>
      <c r="I18" s="4">
        <v>5124.93359375</v>
      </c>
      <c r="J18" s="4">
        <v>5323.8582589285716</v>
      </c>
      <c r="K18" s="4">
        <v>5344.6484375</v>
      </c>
      <c r="L18" s="4">
        <v>198.92466517857156</v>
      </c>
      <c r="M18" s="4">
        <v>219.71484375</v>
      </c>
      <c r="N18" s="4">
        <v>7119.359375</v>
      </c>
      <c r="O18" s="4">
        <v>7119.359375</v>
      </c>
      <c r="P18" s="4">
        <v>7119.359375</v>
      </c>
      <c r="Q18" s="4">
        <v>0</v>
      </c>
      <c r="R18" s="4">
        <v>0</v>
      </c>
      <c r="S18" s="4">
        <v>83.75</v>
      </c>
      <c r="T18" s="4">
        <v>98</v>
      </c>
      <c r="U18" s="4">
        <v>53.009821428571421</v>
      </c>
      <c r="V18" s="4">
        <v>84.200999999999993</v>
      </c>
      <c r="W18" s="21">
        <v>4.2279740048708006E-2</v>
      </c>
    </row>
    <row r="19" spans="1:23">
      <c r="A19" s="249"/>
      <c r="B19" s="40" t="s">
        <v>5</v>
      </c>
      <c r="C19" s="20">
        <v>3</v>
      </c>
      <c r="D19" s="4">
        <v>2.6824609999999893</v>
      </c>
      <c r="E19" s="4">
        <v>1.083822626262622</v>
      </c>
      <c r="F19" s="4">
        <v>922.66019897400554</v>
      </c>
      <c r="G19" s="4">
        <v>3.3707932692307692</v>
      </c>
      <c r="H19" s="4">
        <v>5.8250000000000002</v>
      </c>
      <c r="I19" s="4">
        <v>5125.84375</v>
      </c>
      <c r="J19" s="4">
        <v>5324.0551382211543</v>
      </c>
      <c r="K19" s="4">
        <v>5345.54296875</v>
      </c>
      <c r="L19" s="4">
        <v>198.21138822115427</v>
      </c>
      <c r="M19" s="4">
        <v>219.69921875</v>
      </c>
      <c r="N19" s="4">
        <v>7119.359375</v>
      </c>
      <c r="O19" s="4">
        <v>7119.359375</v>
      </c>
      <c r="P19" s="4">
        <v>7119.359375</v>
      </c>
      <c r="Q19" s="4">
        <v>0</v>
      </c>
      <c r="R19" s="4">
        <v>0</v>
      </c>
      <c r="S19" s="4">
        <v>81.730769230769226</v>
      </c>
      <c r="T19" s="4">
        <v>93</v>
      </c>
      <c r="U19" s="4">
        <v>55.05338461538463</v>
      </c>
      <c r="V19" s="4">
        <v>80.63</v>
      </c>
      <c r="W19" s="21">
        <v>4.2105095557055716E-2</v>
      </c>
    </row>
    <row r="20" spans="1:23">
      <c r="A20" s="249"/>
      <c r="B20" s="40" t="s">
        <v>5</v>
      </c>
      <c r="C20" s="20">
        <v>4</v>
      </c>
      <c r="D20" s="4">
        <v>2.6852829000000042</v>
      </c>
      <c r="E20" s="4">
        <v>1.0849627878787895</v>
      </c>
      <c r="F20" s="4">
        <v>921.69059729237324</v>
      </c>
      <c r="G20" s="4">
        <v>3.268518518518519</v>
      </c>
      <c r="H20" s="4">
        <v>6.5093750000000004</v>
      </c>
      <c r="I20" s="4">
        <v>5126.12890625</v>
      </c>
      <c r="J20" s="4">
        <v>5324.1864872685182</v>
      </c>
      <c r="K20" s="4">
        <v>5346.0234375</v>
      </c>
      <c r="L20" s="4">
        <v>198.05758101851825</v>
      </c>
      <c r="M20" s="4">
        <v>219.89453125</v>
      </c>
      <c r="N20" s="4">
        <v>7119.359375</v>
      </c>
      <c r="O20" s="4">
        <v>7119.359375</v>
      </c>
      <c r="P20" s="4">
        <v>7119.359375</v>
      </c>
      <c r="Q20" s="4">
        <v>0</v>
      </c>
      <c r="R20" s="4">
        <v>0</v>
      </c>
      <c r="S20" s="4">
        <v>82.222222222222229</v>
      </c>
      <c r="T20" s="4">
        <v>94</v>
      </c>
      <c r="U20" s="4">
        <v>55.606740740740754</v>
      </c>
      <c r="V20" s="4">
        <v>80.290999999999997</v>
      </c>
      <c r="W20" s="21">
        <v>4.2123277089333742E-2</v>
      </c>
    </row>
    <row r="21" spans="1:23" ht="14.5" thickBot="1">
      <c r="A21" s="250"/>
      <c r="B21" s="41" t="s">
        <v>5</v>
      </c>
      <c r="C21" s="22">
        <v>5</v>
      </c>
      <c r="D21" s="23">
        <v>2.6821006000000125</v>
      </c>
      <c r="E21" s="23">
        <v>1.0836770101010151</v>
      </c>
      <c r="F21" s="23">
        <v>922.78417893795199</v>
      </c>
      <c r="G21" s="23">
        <v>3.099652777777778</v>
      </c>
      <c r="H21" s="23">
        <v>4.8843750000000004</v>
      </c>
      <c r="I21" s="23">
        <v>5127.14453125</v>
      </c>
      <c r="J21" s="23">
        <v>5324.9118923611113</v>
      </c>
      <c r="K21" s="23">
        <v>5346.94140625</v>
      </c>
      <c r="L21" s="23">
        <v>197.76736111111131</v>
      </c>
      <c r="M21" s="23">
        <v>219.796875</v>
      </c>
      <c r="N21" s="23">
        <v>7119.359375</v>
      </c>
      <c r="O21" s="23">
        <v>7119.359375</v>
      </c>
      <c r="P21" s="23">
        <v>7119.359375</v>
      </c>
      <c r="Q21" s="23">
        <v>0</v>
      </c>
      <c r="R21" s="23">
        <v>0</v>
      </c>
      <c r="S21" s="23">
        <v>81.629629629629633</v>
      </c>
      <c r="T21" s="23">
        <v>94</v>
      </c>
      <c r="U21" s="23">
        <v>55.142222222222216</v>
      </c>
      <c r="V21" s="23">
        <v>80.147999999999996</v>
      </c>
      <c r="W21" s="24">
        <v>4.1903057265597517E-2</v>
      </c>
    </row>
    <row r="22" spans="1:23">
      <c r="A22" s="251" t="s">
        <v>63</v>
      </c>
      <c r="B22" s="242" t="s">
        <v>2</v>
      </c>
      <c r="C22" s="25">
        <v>1</v>
      </c>
      <c r="D22" s="26">
        <v>25.207777999999962</v>
      </c>
      <c r="E22" s="26">
        <v>1.4004321111111091</v>
      </c>
      <c r="F22" s="26">
        <v>714.06531745876316</v>
      </c>
      <c r="G22" s="26">
        <v>3.267913925438596</v>
      </c>
      <c r="H22" s="26">
        <v>5.375</v>
      </c>
      <c r="I22" s="26">
        <v>3004.2109375</v>
      </c>
      <c r="J22" s="26">
        <v>4345.6989617598683</v>
      </c>
      <c r="K22" s="26">
        <v>4364.125</v>
      </c>
      <c r="L22" s="26">
        <v>1341.4880242598683</v>
      </c>
      <c r="M22" s="26">
        <v>1359.9140625</v>
      </c>
      <c r="N22" s="26">
        <v>7000.53125</v>
      </c>
      <c r="O22" s="26">
        <v>7000.53125</v>
      </c>
      <c r="P22" s="26">
        <v>7000.53125</v>
      </c>
      <c r="Q22" s="26">
        <v>0</v>
      </c>
      <c r="R22" s="26">
        <v>0</v>
      </c>
      <c r="S22" s="26">
        <v>90.723684210526315</v>
      </c>
      <c r="T22" s="26">
        <v>100</v>
      </c>
      <c r="U22" s="26">
        <v>57.923614035087716</v>
      </c>
      <c r="V22" s="26">
        <v>85.021000000000001</v>
      </c>
      <c r="W22" s="27">
        <v>0.4031761231499143</v>
      </c>
    </row>
    <row r="23" spans="1:23">
      <c r="A23" s="251"/>
      <c r="B23" s="243"/>
      <c r="C23" s="10">
        <v>2</v>
      </c>
      <c r="D23" s="12">
        <v>24.309021799999755</v>
      </c>
      <c r="E23" s="12">
        <v>1.3505012111110974</v>
      </c>
      <c r="F23" s="12">
        <v>740.46582985088196</v>
      </c>
      <c r="G23" s="12">
        <v>3.2522869318181815</v>
      </c>
      <c r="H23" s="12">
        <v>4.9281249999999996</v>
      </c>
      <c r="I23" s="12">
        <v>3041.58203125</v>
      </c>
      <c r="J23" s="12">
        <v>4381.0562677556818</v>
      </c>
      <c r="K23" s="12">
        <v>4398.69140625</v>
      </c>
      <c r="L23" s="12">
        <v>1339.4742365056818</v>
      </c>
      <c r="M23" s="12">
        <v>1357.109375</v>
      </c>
      <c r="N23" s="12">
        <v>7000.53125</v>
      </c>
      <c r="O23" s="12">
        <v>7000.53125</v>
      </c>
      <c r="P23" s="12">
        <v>7000.53125</v>
      </c>
      <c r="Q23" s="12">
        <v>0</v>
      </c>
      <c r="R23" s="12">
        <v>0</v>
      </c>
      <c r="S23" s="12">
        <v>90.690909090909088</v>
      </c>
      <c r="T23" s="12">
        <v>100</v>
      </c>
      <c r="U23" s="12">
        <v>62.153377272727269</v>
      </c>
      <c r="V23" s="12">
        <v>85.522000000000006</v>
      </c>
      <c r="W23" s="28">
        <v>0.41767929758477584</v>
      </c>
    </row>
    <row r="24" spans="1:23">
      <c r="A24" s="251"/>
      <c r="B24" s="243"/>
      <c r="C24" s="9">
        <v>3</v>
      </c>
      <c r="D24" s="11">
        <v>23.104442100000142</v>
      </c>
      <c r="E24" s="11">
        <v>1.2835801166666745</v>
      </c>
      <c r="F24" s="11">
        <v>779.07096488600735</v>
      </c>
      <c r="G24" s="11">
        <v>3.1912351190476187</v>
      </c>
      <c r="H24" s="11">
        <v>5.328125</v>
      </c>
      <c r="I24" s="11">
        <v>2501.8046875</v>
      </c>
      <c r="J24" s="11">
        <v>3840.7174479166665</v>
      </c>
      <c r="K24" s="11">
        <v>3859.80859375</v>
      </c>
      <c r="L24" s="11">
        <v>1338.9127604166665</v>
      </c>
      <c r="M24" s="11">
        <v>1358.00390625</v>
      </c>
      <c r="N24" s="11">
        <v>7000.53125</v>
      </c>
      <c r="O24" s="11">
        <v>7000.53125</v>
      </c>
      <c r="P24" s="11">
        <v>7000.53125</v>
      </c>
      <c r="Q24" s="11">
        <v>0</v>
      </c>
      <c r="R24" s="11">
        <v>0</v>
      </c>
      <c r="S24" s="11">
        <v>89.590476190476195</v>
      </c>
      <c r="T24" s="11">
        <v>93</v>
      </c>
      <c r="U24" s="11">
        <v>64.516628571428569</v>
      </c>
      <c r="V24" s="11">
        <v>83.495999999999995</v>
      </c>
      <c r="W24" s="29">
        <v>0.41411511528865097</v>
      </c>
    </row>
    <row r="25" spans="1:23">
      <c r="A25" s="251"/>
      <c r="B25" s="243"/>
      <c r="C25" s="10">
        <v>4</v>
      </c>
      <c r="D25" s="12">
        <v>22.066359799999645</v>
      </c>
      <c r="E25" s="12">
        <v>1.225908877777758</v>
      </c>
      <c r="F25" s="12">
        <v>815.72131349006145</v>
      </c>
      <c r="G25" s="12">
        <v>3.1784203980099499</v>
      </c>
      <c r="H25" s="12">
        <v>5.1937499999999996</v>
      </c>
      <c r="I25" s="12">
        <v>2501.89453125</v>
      </c>
      <c r="J25" s="12">
        <v>3840.3136077425374</v>
      </c>
      <c r="K25" s="12">
        <v>3860.375</v>
      </c>
      <c r="L25" s="12">
        <v>1338.4190764925374</v>
      </c>
      <c r="M25" s="12">
        <v>1358.48046875</v>
      </c>
      <c r="N25" s="12">
        <v>7000.53125</v>
      </c>
      <c r="O25" s="12">
        <v>7000.53125</v>
      </c>
      <c r="P25" s="12">
        <v>7000.53125</v>
      </c>
      <c r="Q25" s="12">
        <v>0</v>
      </c>
      <c r="R25" s="12">
        <v>0</v>
      </c>
      <c r="S25" s="12">
        <v>88.930348258706474</v>
      </c>
      <c r="T25" s="12">
        <v>100</v>
      </c>
      <c r="U25" s="12">
        <v>72.258442786069651</v>
      </c>
      <c r="V25" s="12">
        <v>93.763999999999996</v>
      </c>
      <c r="W25" s="28">
        <v>0.44209045847811351</v>
      </c>
    </row>
    <row r="26" spans="1:23" ht="14.5" thickBot="1">
      <c r="A26" s="251"/>
      <c r="B26" s="244"/>
      <c r="C26" s="30">
        <v>5</v>
      </c>
      <c r="D26" s="31">
        <v>22.593257999999878</v>
      </c>
      <c r="E26" s="31">
        <v>1.2551809999999932</v>
      </c>
      <c r="F26" s="31">
        <v>796.69784676473387</v>
      </c>
      <c r="G26" s="31">
        <v>3.1038262195121953</v>
      </c>
      <c r="H26" s="31">
        <v>4.8812499999999996</v>
      </c>
      <c r="I26" s="31">
        <v>2503.0390625</v>
      </c>
      <c r="J26" s="31">
        <v>3840.9647103658535</v>
      </c>
      <c r="K26" s="31">
        <v>3861.1484375</v>
      </c>
      <c r="L26" s="31">
        <v>1337.9256478658535</v>
      </c>
      <c r="M26" s="31">
        <v>1358.109375</v>
      </c>
      <c r="N26" s="31">
        <v>7000.53125</v>
      </c>
      <c r="O26" s="31">
        <v>7000.53125</v>
      </c>
      <c r="P26" s="31">
        <v>7000.53125</v>
      </c>
      <c r="Q26" s="31">
        <v>0</v>
      </c>
      <c r="R26" s="31">
        <v>0</v>
      </c>
      <c r="S26" s="31">
        <v>89.307317073170736</v>
      </c>
      <c r="T26" s="31">
        <v>100</v>
      </c>
      <c r="U26" s="31">
        <v>67.267492682926829</v>
      </c>
      <c r="V26" s="31">
        <v>87.814999999999998</v>
      </c>
      <c r="W26" s="32">
        <v>0.42080678488804324</v>
      </c>
    </row>
    <row r="27" spans="1:23">
      <c r="A27" s="251"/>
      <c r="B27" s="246" t="s">
        <v>3</v>
      </c>
      <c r="C27" s="33">
        <v>1</v>
      </c>
      <c r="D27" s="34">
        <v>8.5280450999999857</v>
      </c>
      <c r="E27" s="34">
        <v>1.4306400100654229</v>
      </c>
      <c r="F27" s="34">
        <v>698.98786065284878</v>
      </c>
      <c r="G27" s="34">
        <v>3.1857594936708855</v>
      </c>
      <c r="H27" s="34">
        <v>5.8250000000000002</v>
      </c>
      <c r="I27" s="34">
        <v>6886.07421875</v>
      </c>
      <c r="J27" s="34">
        <v>7361.3282238924048</v>
      </c>
      <c r="K27" s="34">
        <v>7382.63671875</v>
      </c>
      <c r="L27" s="34">
        <v>475.25400514240482</v>
      </c>
      <c r="M27" s="34">
        <v>496.5625</v>
      </c>
      <c r="N27" s="34">
        <v>7003.67578125</v>
      </c>
      <c r="O27" s="34">
        <v>7003.67578125</v>
      </c>
      <c r="P27" s="34">
        <v>7003.67578125</v>
      </c>
      <c r="Q27" s="34">
        <v>0</v>
      </c>
      <c r="R27" s="34">
        <v>0</v>
      </c>
      <c r="S27" s="34">
        <v>83.088607594936704</v>
      </c>
      <c r="T27" s="34">
        <v>92</v>
      </c>
      <c r="U27" s="34">
        <v>55.563367088607585</v>
      </c>
      <c r="V27" s="34">
        <v>79.093000000000004</v>
      </c>
      <c r="W27" s="35">
        <v>0.13380464055945754</v>
      </c>
    </row>
    <row r="28" spans="1:23">
      <c r="A28" s="251"/>
      <c r="B28" s="245"/>
      <c r="C28" s="9">
        <v>2</v>
      </c>
      <c r="D28" s="11">
        <v>7.7012252999999191</v>
      </c>
      <c r="E28" s="11">
        <v>1.2919351283341585</v>
      </c>
      <c r="F28" s="11">
        <v>774.03267243721109</v>
      </c>
      <c r="G28" s="11">
        <v>3.0429137323943656</v>
      </c>
      <c r="H28" s="11">
        <v>5.328125</v>
      </c>
      <c r="I28" s="11">
        <v>6914.37109375</v>
      </c>
      <c r="J28" s="11">
        <v>7375.648107394366</v>
      </c>
      <c r="K28" s="11">
        <v>7392.609375</v>
      </c>
      <c r="L28" s="11">
        <v>461.27701364436598</v>
      </c>
      <c r="M28" s="11">
        <v>478.23828125</v>
      </c>
      <c r="N28" s="11">
        <v>7003.67578125</v>
      </c>
      <c r="O28" s="11">
        <v>7003.67578125</v>
      </c>
      <c r="P28" s="11">
        <v>7003.67578125</v>
      </c>
      <c r="Q28" s="11">
        <v>0</v>
      </c>
      <c r="R28" s="11">
        <v>0</v>
      </c>
      <c r="S28" s="11">
        <v>88.028169014084511</v>
      </c>
      <c r="T28" s="11">
        <v>94</v>
      </c>
      <c r="U28" s="11">
        <v>61.221619718309853</v>
      </c>
      <c r="V28" s="11">
        <v>77.727000000000004</v>
      </c>
      <c r="W28" s="29">
        <v>0.13117535083393139</v>
      </c>
    </row>
    <row r="29" spans="1:23">
      <c r="A29" s="251"/>
      <c r="B29" s="245"/>
      <c r="C29" s="10">
        <v>3</v>
      </c>
      <c r="D29" s="12">
        <v>7.6761802999999418</v>
      </c>
      <c r="E29" s="12">
        <v>1.2877336520717904</v>
      </c>
      <c r="F29" s="12">
        <v>776.55810142969744</v>
      </c>
      <c r="G29" s="12">
        <v>2.9357394366197185</v>
      </c>
      <c r="H29" s="12">
        <v>4.6749999999999998</v>
      </c>
      <c r="I29" s="12">
        <v>6918.2421875</v>
      </c>
      <c r="J29" s="12">
        <v>7377.9330435739439</v>
      </c>
      <c r="K29" s="12">
        <v>7394.125</v>
      </c>
      <c r="L29" s="12">
        <v>459.69085607394391</v>
      </c>
      <c r="M29" s="12">
        <v>475.8828125</v>
      </c>
      <c r="N29" s="12">
        <v>7003.67578125</v>
      </c>
      <c r="O29" s="12">
        <v>7003.67578125</v>
      </c>
      <c r="P29" s="12">
        <v>7003.67578125</v>
      </c>
      <c r="Q29" s="12">
        <v>0</v>
      </c>
      <c r="R29" s="12">
        <v>0</v>
      </c>
      <c r="S29" s="12">
        <v>88.267605633802816</v>
      </c>
      <c r="T29" s="12">
        <v>91</v>
      </c>
      <c r="U29" s="12">
        <v>61.253605633802806</v>
      </c>
      <c r="V29" s="12">
        <v>81.055000000000007</v>
      </c>
      <c r="W29" s="28">
        <v>0.13075349204584799</v>
      </c>
    </row>
    <row r="30" spans="1:23">
      <c r="A30" s="251"/>
      <c r="B30" s="245"/>
      <c r="C30" s="9">
        <v>4</v>
      </c>
      <c r="D30" s="11">
        <v>7.634053300000005</v>
      </c>
      <c r="E30" s="11">
        <v>1.280666549236706</v>
      </c>
      <c r="F30" s="11">
        <v>780.84338237460247</v>
      </c>
      <c r="G30" s="11">
        <v>3.0533450704225356</v>
      </c>
      <c r="H30" s="11">
        <v>6.3</v>
      </c>
      <c r="I30" s="11">
        <v>6919.46875</v>
      </c>
      <c r="J30" s="11">
        <v>7378.1402398767605</v>
      </c>
      <c r="K30" s="11">
        <v>7395.578125</v>
      </c>
      <c r="L30" s="11">
        <v>458.67148987676046</v>
      </c>
      <c r="M30" s="11">
        <v>476.109375</v>
      </c>
      <c r="N30" s="11">
        <v>7003.67578125</v>
      </c>
      <c r="O30" s="11">
        <v>7003.67578125</v>
      </c>
      <c r="P30" s="11">
        <v>7003.67578125</v>
      </c>
      <c r="Q30" s="11">
        <v>0</v>
      </c>
      <c r="R30" s="11">
        <v>0</v>
      </c>
      <c r="S30" s="11">
        <v>87.901408450704224</v>
      </c>
      <c r="T30" s="11">
        <v>91</v>
      </c>
      <c r="U30" s="11">
        <v>62.19645070422537</v>
      </c>
      <c r="V30" s="11">
        <v>81.402000000000001</v>
      </c>
      <c r="W30" s="29">
        <v>0.13310686523825013</v>
      </c>
    </row>
    <row r="31" spans="1:23" ht="14.5" thickBot="1">
      <c r="A31" s="251"/>
      <c r="B31" s="247"/>
      <c r="C31" s="30">
        <v>5</v>
      </c>
      <c r="D31" s="31">
        <v>7.5838056999999708</v>
      </c>
      <c r="E31" s="31">
        <v>1.2722371581949288</v>
      </c>
      <c r="F31" s="31">
        <v>786.01697298231454</v>
      </c>
      <c r="G31" s="31">
        <v>3.1320982142857137</v>
      </c>
      <c r="H31" s="31">
        <v>4.4781250000000004</v>
      </c>
      <c r="I31" s="31">
        <v>6920.04296875</v>
      </c>
      <c r="J31" s="31">
        <v>7379.4675781249998</v>
      </c>
      <c r="K31" s="31">
        <v>7396.6328125</v>
      </c>
      <c r="L31" s="31">
        <v>459.42460937499982</v>
      </c>
      <c r="M31" s="31">
        <v>476.58984375</v>
      </c>
      <c r="N31" s="31">
        <v>7003.67578125</v>
      </c>
      <c r="O31" s="31">
        <v>7003.67578125</v>
      </c>
      <c r="P31" s="31">
        <v>7003.67578125</v>
      </c>
      <c r="Q31" s="31">
        <v>0</v>
      </c>
      <c r="R31" s="31">
        <v>0</v>
      </c>
      <c r="S31" s="31">
        <v>87.828571428571422</v>
      </c>
      <c r="T31" s="31">
        <v>91</v>
      </c>
      <c r="U31" s="31">
        <v>65.053200000000018</v>
      </c>
      <c r="V31" s="31">
        <v>81.381</v>
      </c>
      <c r="W31" s="32">
        <v>0.13722268567880519</v>
      </c>
    </row>
    <row r="32" spans="1:23">
      <c r="A32" s="251"/>
      <c r="B32" s="242" t="s">
        <v>4</v>
      </c>
      <c r="C32" s="33">
        <v>1</v>
      </c>
      <c r="D32" s="34">
        <v>4.5369547999999895</v>
      </c>
      <c r="E32" s="34">
        <v>1.5123182666666632</v>
      </c>
      <c r="F32" s="34">
        <v>661.23647517934432</v>
      </c>
      <c r="G32" s="34">
        <v>3.0998546511627905</v>
      </c>
      <c r="H32" s="34">
        <v>5.328125</v>
      </c>
      <c r="I32" s="34">
        <v>6162.234375</v>
      </c>
      <c r="J32" s="34">
        <v>6418.58203125</v>
      </c>
      <c r="K32" s="34">
        <v>6441.29296875</v>
      </c>
      <c r="L32" s="34">
        <v>256.34765625</v>
      </c>
      <c r="M32" s="34">
        <v>279.05859375</v>
      </c>
      <c r="N32" s="34">
        <v>7005.42578125</v>
      </c>
      <c r="O32" s="34">
        <v>7005.42578125</v>
      </c>
      <c r="P32" s="34">
        <v>7005.42578125</v>
      </c>
      <c r="Q32" s="34">
        <v>0</v>
      </c>
      <c r="R32" s="34">
        <v>0</v>
      </c>
      <c r="S32" s="34">
        <v>77.395348837209298</v>
      </c>
      <c r="T32" s="34">
        <v>92</v>
      </c>
      <c r="U32" s="34">
        <v>50.67867441860465</v>
      </c>
      <c r="V32" s="34">
        <v>89.503</v>
      </c>
      <c r="W32" s="35">
        <v>6.3837879381680687E-2</v>
      </c>
    </row>
    <row r="33" spans="1:23">
      <c r="A33" s="251"/>
      <c r="B33" s="243"/>
      <c r="C33" s="9">
        <v>2</v>
      </c>
      <c r="D33" s="11">
        <v>4.0750151999999957</v>
      </c>
      <c r="E33" s="11">
        <v>1.3583383999999985</v>
      </c>
      <c r="F33" s="11">
        <v>736.19357297121326</v>
      </c>
      <c r="G33" s="11">
        <v>3.1588942307692305</v>
      </c>
      <c r="H33" s="11">
        <v>4.9281249999999996</v>
      </c>
      <c r="I33" s="11">
        <v>6183.9609375</v>
      </c>
      <c r="J33" s="11">
        <v>6424.2074318910254</v>
      </c>
      <c r="K33" s="11">
        <v>6442.7109375</v>
      </c>
      <c r="L33" s="11">
        <v>240.24649439102541</v>
      </c>
      <c r="M33" s="11">
        <v>258.75</v>
      </c>
      <c r="N33" s="11">
        <v>7005.42578125</v>
      </c>
      <c r="O33" s="11">
        <v>7005.42578125</v>
      </c>
      <c r="P33" s="11">
        <v>7005.42578125</v>
      </c>
      <c r="Q33" s="11">
        <v>0</v>
      </c>
      <c r="R33" s="11">
        <v>0</v>
      </c>
      <c r="S33" s="11">
        <v>85.230769230769226</v>
      </c>
      <c r="T33" s="11">
        <v>92</v>
      </c>
      <c r="U33" s="11">
        <v>52.125692307692297</v>
      </c>
      <c r="V33" s="11">
        <v>73.341999999999999</v>
      </c>
      <c r="W33" s="29">
        <v>5.96476871100413E-2</v>
      </c>
    </row>
    <row r="34" spans="1:23">
      <c r="A34" s="251"/>
      <c r="B34" s="243"/>
      <c r="C34" s="10">
        <v>3</v>
      </c>
      <c r="D34" s="12">
        <v>4.0558704999999691</v>
      </c>
      <c r="E34" s="12">
        <v>1.3519568333333229</v>
      </c>
      <c r="F34" s="12">
        <v>739.66858655867406</v>
      </c>
      <c r="G34" s="12">
        <v>3.0369243421052636</v>
      </c>
      <c r="H34" s="12">
        <v>4.296875</v>
      </c>
      <c r="I34" s="12">
        <v>6184.5546875</v>
      </c>
      <c r="J34" s="12">
        <v>6424.6957236842109</v>
      </c>
      <c r="K34" s="12">
        <v>6442.6953125</v>
      </c>
      <c r="L34" s="12">
        <v>240.14103618421086</v>
      </c>
      <c r="M34" s="12">
        <v>258.140625</v>
      </c>
      <c r="N34" s="12">
        <v>7005.42578125</v>
      </c>
      <c r="O34" s="12">
        <v>7005.42578125</v>
      </c>
      <c r="P34" s="12">
        <v>7005.42578125</v>
      </c>
      <c r="Q34" s="12">
        <v>0</v>
      </c>
      <c r="R34" s="12">
        <v>0</v>
      </c>
      <c r="S34" s="12">
        <v>84.684210526315795</v>
      </c>
      <c r="T34" s="12">
        <v>92</v>
      </c>
      <c r="U34" s="12">
        <v>53.075157894736833</v>
      </c>
      <c r="V34" s="12">
        <v>79.620999999999995</v>
      </c>
      <c r="W34" s="28">
        <v>6.0865652132319502E-2</v>
      </c>
    </row>
    <row r="35" spans="1:23">
      <c r="A35" s="251"/>
      <c r="B35" s="243"/>
      <c r="C35" s="9">
        <v>4</v>
      </c>
      <c r="D35" s="11">
        <v>3.8333824999999706</v>
      </c>
      <c r="E35" s="11">
        <v>1.2777941666666568</v>
      </c>
      <c r="F35" s="11">
        <v>782.59865797374073</v>
      </c>
      <c r="G35" s="11">
        <v>2.8946790540540541</v>
      </c>
      <c r="H35" s="11">
        <v>4.5687499999999996</v>
      </c>
      <c r="I35" s="11">
        <v>6185.08203125</v>
      </c>
      <c r="J35" s="11">
        <v>6424.0801309121625</v>
      </c>
      <c r="K35" s="11">
        <v>6443.265625</v>
      </c>
      <c r="L35" s="11">
        <v>238.99809966216253</v>
      </c>
      <c r="M35" s="11">
        <v>258.18359375</v>
      </c>
      <c r="N35" s="11">
        <v>7005.42578125</v>
      </c>
      <c r="O35" s="11">
        <v>7005.42578125</v>
      </c>
      <c r="P35" s="11">
        <v>7005.42578125</v>
      </c>
      <c r="Q35" s="11">
        <v>0</v>
      </c>
      <c r="R35" s="11">
        <v>0</v>
      </c>
      <c r="S35" s="11">
        <v>84.86486486486487</v>
      </c>
      <c r="T35" s="11">
        <v>93</v>
      </c>
      <c r="U35" s="11">
        <v>58.352756756756762</v>
      </c>
      <c r="V35" s="11">
        <v>81.5</v>
      </c>
      <c r="W35" s="29">
        <v>6.2915874799694474E-2</v>
      </c>
    </row>
    <row r="36" spans="1:23" ht="14.5" thickBot="1">
      <c r="A36" s="251"/>
      <c r="B36" s="244"/>
      <c r="C36" s="36">
        <v>5</v>
      </c>
      <c r="D36" s="37">
        <v>3.9305396999999971</v>
      </c>
      <c r="E36" s="37">
        <v>1.3101798999999992</v>
      </c>
      <c r="F36" s="37">
        <v>763.25396229937644</v>
      </c>
      <c r="G36" s="37">
        <v>2.9611019736842104</v>
      </c>
      <c r="H36" s="37">
        <v>9.15625</v>
      </c>
      <c r="I36" s="37">
        <v>6185.125</v>
      </c>
      <c r="J36" s="37">
        <v>6424.8655427631575</v>
      </c>
      <c r="K36" s="37">
        <v>6443.44921875</v>
      </c>
      <c r="L36" s="37">
        <v>239.74054276315746</v>
      </c>
      <c r="M36" s="37">
        <v>258.32421875</v>
      </c>
      <c r="N36" s="37">
        <v>7005.42578125</v>
      </c>
      <c r="O36" s="37">
        <v>7005.42578125</v>
      </c>
      <c r="P36" s="37">
        <v>7005.42578125</v>
      </c>
      <c r="Q36" s="37">
        <v>0</v>
      </c>
      <c r="R36" s="37">
        <v>0</v>
      </c>
      <c r="S36" s="37">
        <v>84.236842105263165</v>
      </c>
      <c r="T36" s="37">
        <v>93</v>
      </c>
      <c r="U36" s="37">
        <v>56.397868421052635</v>
      </c>
      <c r="V36" s="37">
        <v>77.814999999999998</v>
      </c>
      <c r="W36" s="38">
        <v>6.2693582718222424E-2</v>
      </c>
    </row>
    <row r="37" spans="1:23">
      <c r="A37" s="251"/>
      <c r="B37" s="246" t="s">
        <v>5</v>
      </c>
      <c r="C37" s="25">
        <v>1</v>
      </c>
      <c r="D37" s="26">
        <v>3.5880499999999813</v>
      </c>
      <c r="E37" s="26">
        <v>1.4497171717171642</v>
      </c>
      <c r="F37" s="26">
        <v>689.78971864940922</v>
      </c>
      <c r="G37" s="26">
        <v>3.0070772058823532</v>
      </c>
      <c r="H37" s="26">
        <v>4.3812499999999996</v>
      </c>
      <c r="I37" s="26">
        <v>5128.21484375</v>
      </c>
      <c r="J37" s="26">
        <v>5341.6778492647063</v>
      </c>
      <c r="K37" s="26">
        <v>5368.00390625</v>
      </c>
      <c r="L37" s="26">
        <v>213.46300551470631</v>
      </c>
      <c r="M37" s="26">
        <v>239.7890625</v>
      </c>
      <c r="N37" s="26">
        <v>7005.42578125</v>
      </c>
      <c r="O37" s="26">
        <v>7005.42578125</v>
      </c>
      <c r="P37" s="26">
        <v>7005.42578125</v>
      </c>
      <c r="Q37" s="26">
        <v>0</v>
      </c>
      <c r="R37" s="26">
        <v>0</v>
      </c>
      <c r="S37" s="26">
        <v>69.970588235294116</v>
      </c>
      <c r="T37" s="26">
        <v>93</v>
      </c>
      <c r="U37" s="26">
        <v>51.734676470588241</v>
      </c>
      <c r="V37" s="26">
        <v>79.903999999999996</v>
      </c>
      <c r="W37" s="27">
        <v>5.1064446382194345E-2</v>
      </c>
    </row>
    <row r="38" spans="1:23">
      <c r="A38" s="251"/>
      <c r="B38" s="245"/>
      <c r="C38" s="10">
        <v>2</v>
      </c>
      <c r="D38" s="12">
        <v>3.1248433000000091</v>
      </c>
      <c r="E38" s="12">
        <v>1.2625629494949533</v>
      </c>
      <c r="F38" s="12">
        <v>792.03971603951879</v>
      </c>
      <c r="G38" s="12">
        <v>2.9236458333333335</v>
      </c>
      <c r="H38" s="12">
        <v>3.90625</v>
      </c>
      <c r="I38" s="12">
        <v>5149.625</v>
      </c>
      <c r="J38" s="12">
        <v>5349.581380208333</v>
      </c>
      <c r="K38" s="12">
        <v>5369.33203125</v>
      </c>
      <c r="L38" s="12">
        <v>199.95638020833303</v>
      </c>
      <c r="M38" s="12">
        <v>219.70703125</v>
      </c>
      <c r="N38" s="12">
        <v>7005.42578125</v>
      </c>
      <c r="O38" s="12">
        <v>7005.42578125</v>
      </c>
      <c r="P38" s="12">
        <v>7005.42578125</v>
      </c>
      <c r="Q38" s="12">
        <v>0</v>
      </c>
      <c r="R38" s="12">
        <v>0</v>
      </c>
      <c r="S38" s="12">
        <v>78.666666666666671</v>
      </c>
      <c r="T38" s="12">
        <v>89</v>
      </c>
      <c r="U38" s="12">
        <v>54.4529</v>
      </c>
      <c r="V38" s="12">
        <v>79.965000000000003</v>
      </c>
      <c r="W38" s="28">
        <v>4.8363860496582929E-2</v>
      </c>
    </row>
    <row r="39" spans="1:23">
      <c r="A39" s="251"/>
      <c r="B39" s="245"/>
      <c r="C39" s="9">
        <v>3</v>
      </c>
      <c r="D39" s="11">
        <v>3.1053410000000099</v>
      </c>
      <c r="E39" s="11">
        <v>1.2546832323232364</v>
      </c>
      <c r="F39" s="11">
        <v>797.01391892226718</v>
      </c>
      <c r="G39" s="11">
        <v>3.0576041666666671</v>
      </c>
      <c r="H39" s="11">
        <v>4.7249999999999996</v>
      </c>
      <c r="I39" s="11">
        <v>5149.96875</v>
      </c>
      <c r="J39" s="11">
        <v>5348.9795572916664</v>
      </c>
      <c r="K39" s="11">
        <v>5369.6875</v>
      </c>
      <c r="L39" s="11">
        <v>199.01080729166642</v>
      </c>
      <c r="M39" s="11">
        <v>219.71875</v>
      </c>
      <c r="N39" s="11">
        <v>7005.42578125</v>
      </c>
      <c r="O39" s="11">
        <v>7005.42578125</v>
      </c>
      <c r="P39" s="11">
        <v>7005.42578125</v>
      </c>
      <c r="Q39" s="11">
        <v>0</v>
      </c>
      <c r="R39" s="11">
        <v>0</v>
      </c>
      <c r="S39" s="11">
        <v>79.333333333333329</v>
      </c>
      <c r="T39" s="11">
        <v>91</v>
      </c>
      <c r="U39" s="11">
        <v>55.595266666666667</v>
      </c>
      <c r="V39" s="11">
        <v>81.138999999999996</v>
      </c>
      <c r="W39" s="29">
        <v>4.8848570342847036E-2</v>
      </c>
    </row>
    <row r="40" spans="1:23">
      <c r="A40" s="251"/>
      <c r="B40" s="245"/>
      <c r="C40" s="9">
        <v>4</v>
      </c>
      <c r="D40" s="11">
        <v>3.0914278000000195</v>
      </c>
      <c r="E40" s="11">
        <v>1.2490617373737454</v>
      </c>
      <c r="F40" s="11">
        <v>800.6009391518005</v>
      </c>
      <c r="G40" s="11">
        <v>2.7463541666666673</v>
      </c>
      <c r="H40" s="11">
        <v>4.03125</v>
      </c>
      <c r="I40" s="11">
        <v>5150</v>
      </c>
      <c r="J40" s="11">
        <v>5349.1123697916664</v>
      </c>
      <c r="K40" s="11">
        <v>5369.69921875</v>
      </c>
      <c r="L40" s="11">
        <v>199.11236979166642</v>
      </c>
      <c r="M40" s="11">
        <v>219.69921875</v>
      </c>
      <c r="N40" s="11">
        <v>7005.42578125</v>
      </c>
      <c r="O40" s="11">
        <v>7005.42578125</v>
      </c>
      <c r="P40" s="11">
        <v>7005.42578125</v>
      </c>
      <c r="Q40" s="11">
        <v>0</v>
      </c>
      <c r="R40" s="11">
        <v>0</v>
      </c>
      <c r="S40" s="11">
        <v>80.13333333333334</v>
      </c>
      <c r="T40" s="11">
        <v>92</v>
      </c>
      <c r="U40" s="11">
        <v>53.450466666666664</v>
      </c>
      <c r="V40" s="11">
        <v>88.24</v>
      </c>
      <c r="W40" s="29">
        <v>4.7376057996347663E-2</v>
      </c>
    </row>
    <row r="41" spans="1:23" ht="14.5" thickBot="1">
      <c r="A41" s="251"/>
      <c r="B41" s="245"/>
      <c r="C41" s="71">
        <v>5</v>
      </c>
      <c r="D41" s="78">
        <v>3.2283181999999897</v>
      </c>
      <c r="E41" s="78">
        <v>1.3043709898989857</v>
      </c>
      <c r="F41" s="78">
        <v>766.65305173449383</v>
      </c>
      <c r="G41" s="78">
        <v>2.7576171875000002</v>
      </c>
      <c r="H41" s="78">
        <v>3.5843750000000001</v>
      </c>
      <c r="I41" s="78">
        <v>5150.01953125</v>
      </c>
      <c r="J41" s="78">
        <v>5350.450927734375</v>
      </c>
      <c r="K41" s="78">
        <v>5369.96484375</v>
      </c>
      <c r="L41" s="78">
        <v>200.431396484375</v>
      </c>
      <c r="M41" s="78">
        <v>219.9453125</v>
      </c>
      <c r="N41" s="78">
        <v>7005.42578125</v>
      </c>
      <c r="O41" s="78">
        <v>7005.42578125</v>
      </c>
      <c r="P41" s="78">
        <v>7005.42578125</v>
      </c>
      <c r="Q41" s="78">
        <v>0</v>
      </c>
      <c r="R41" s="78">
        <v>0</v>
      </c>
      <c r="S41" s="78">
        <v>81.875</v>
      </c>
      <c r="T41" s="78">
        <v>98</v>
      </c>
      <c r="U41" s="78">
        <v>53.101062499999998</v>
      </c>
      <c r="V41" s="78">
        <v>84.724999999999994</v>
      </c>
      <c r="W41" s="79">
        <v>4.7581510720167378E-2</v>
      </c>
    </row>
    <row r="42" spans="1:23">
      <c r="A42" s="239" t="s">
        <v>68</v>
      </c>
      <c r="B42" s="242" t="s">
        <v>2</v>
      </c>
      <c r="C42" s="25">
        <v>1</v>
      </c>
      <c r="D42" s="65">
        <v>21.393391900000097</v>
      </c>
      <c r="E42" s="65">
        <v>1.1885217722222277</v>
      </c>
      <c r="F42" s="65">
        <v>841.38130522443794</v>
      </c>
      <c r="G42" s="65">
        <v>3.2195554123711339</v>
      </c>
      <c r="H42" s="65">
        <v>4.9281249999999996</v>
      </c>
      <c r="I42" s="65">
        <v>7157.296875</v>
      </c>
      <c r="J42" s="65">
        <v>8493.2752496778357</v>
      </c>
      <c r="K42" s="65">
        <v>8515.61328125</v>
      </c>
      <c r="L42" s="65">
        <v>1335.9783746778357</v>
      </c>
      <c r="M42" s="65">
        <v>1358.31640625</v>
      </c>
      <c r="N42" s="65">
        <v>7000.55859375</v>
      </c>
      <c r="O42" s="65">
        <v>7000.55859375</v>
      </c>
      <c r="P42" s="65">
        <v>7000.55859375</v>
      </c>
      <c r="Q42" s="65">
        <v>0</v>
      </c>
      <c r="R42" s="65">
        <v>0</v>
      </c>
      <c r="S42" s="65">
        <v>86.721649484536087</v>
      </c>
      <c r="T42" s="65">
        <v>100</v>
      </c>
      <c r="U42" s="65">
        <v>61.646221649484531</v>
      </c>
      <c r="V42" s="65">
        <v>82.231999999999999</v>
      </c>
      <c r="W42" s="66">
        <v>0.36265907442935885</v>
      </c>
    </row>
    <row r="43" spans="1:23">
      <c r="A43" s="240"/>
      <c r="B43" s="243"/>
      <c r="C43" s="10">
        <v>2</v>
      </c>
      <c r="D43" s="62">
        <v>20.278617899999972</v>
      </c>
      <c r="E43" s="62">
        <v>1.1265898833333317</v>
      </c>
      <c r="F43" s="62">
        <v>887.63445757316754</v>
      </c>
      <c r="G43" s="62">
        <v>3.2573539402173912</v>
      </c>
      <c r="H43" s="62">
        <v>4.9281249999999996</v>
      </c>
      <c r="I43" s="62">
        <v>7157.4921875</v>
      </c>
      <c r="J43" s="62">
        <v>8495.293350883152</v>
      </c>
      <c r="K43" s="62">
        <v>8515.98828125</v>
      </c>
      <c r="L43" s="62">
        <v>1337.801163383152</v>
      </c>
      <c r="M43" s="62">
        <v>1358.49609375</v>
      </c>
      <c r="N43" s="62">
        <v>7000.55859375</v>
      </c>
      <c r="O43" s="62">
        <v>7000.55859375</v>
      </c>
      <c r="P43" s="62">
        <v>7000.55859375</v>
      </c>
      <c r="Q43" s="62">
        <v>0</v>
      </c>
      <c r="R43" s="62">
        <v>0</v>
      </c>
      <c r="S43" s="62">
        <v>89.282608695652172</v>
      </c>
      <c r="T43" s="62">
        <v>100</v>
      </c>
      <c r="U43" s="62">
        <v>64.518559782608691</v>
      </c>
      <c r="V43" s="62">
        <v>84.685000000000002</v>
      </c>
      <c r="W43" s="67">
        <v>0.36013437486474925</v>
      </c>
    </row>
    <row r="44" spans="1:23">
      <c r="A44" s="240"/>
      <c r="B44" s="243"/>
      <c r="C44" s="9">
        <v>3</v>
      </c>
      <c r="D44" s="61">
        <v>20.691842199999883</v>
      </c>
      <c r="E44" s="61">
        <v>1.1495467888888824</v>
      </c>
      <c r="F44" s="61">
        <v>869.90804521020857</v>
      </c>
      <c r="G44" s="61">
        <v>3.2354388297872338</v>
      </c>
      <c r="H44" s="61">
        <v>4.9281249999999996</v>
      </c>
      <c r="I44" s="61">
        <v>7158.73046875</v>
      </c>
      <c r="J44" s="61">
        <v>8496.0018907912236</v>
      </c>
      <c r="K44" s="61">
        <v>8516.5703125</v>
      </c>
      <c r="L44" s="61">
        <v>1337.2714220412236</v>
      </c>
      <c r="M44" s="61">
        <v>1357.83984375</v>
      </c>
      <c r="N44" s="61">
        <v>7000.55859375</v>
      </c>
      <c r="O44" s="61">
        <v>7000.55859375</v>
      </c>
      <c r="P44" s="61">
        <v>7000.55859375</v>
      </c>
      <c r="Q44" s="61">
        <v>0</v>
      </c>
      <c r="R44" s="61">
        <v>0</v>
      </c>
      <c r="S44" s="61">
        <v>87.984042553191486</v>
      </c>
      <c r="T44" s="61">
        <v>100</v>
      </c>
      <c r="U44" s="61">
        <v>62.763739361702129</v>
      </c>
      <c r="V44" s="61">
        <v>73.900999999999996</v>
      </c>
      <c r="W44" s="68">
        <v>0.35862857574308377</v>
      </c>
    </row>
    <row r="45" spans="1:23">
      <c r="A45" s="240"/>
      <c r="B45" s="243"/>
      <c r="C45" s="10">
        <v>4</v>
      </c>
      <c r="D45" s="62">
        <v>20.73807550000015</v>
      </c>
      <c r="E45" s="62">
        <v>1.152115305555564</v>
      </c>
      <c r="F45" s="62">
        <v>867.96867915732435</v>
      </c>
      <c r="G45" s="62">
        <v>3.208992686170212</v>
      </c>
      <c r="H45" s="62">
        <v>4.8812499999999996</v>
      </c>
      <c r="I45" s="62">
        <v>7158.7890625</v>
      </c>
      <c r="J45" s="62">
        <v>8495.1688622007987</v>
      </c>
      <c r="K45" s="62">
        <v>8516.75390625</v>
      </c>
      <c r="L45" s="62">
        <v>1336.3797997007987</v>
      </c>
      <c r="M45" s="62">
        <v>1357.96484375</v>
      </c>
      <c r="N45" s="62">
        <v>7000.55859375</v>
      </c>
      <c r="O45" s="62">
        <v>7000.55859375</v>
      </c>
      <c r="P45" s="62">
        <v>7000.55859375</v>
      </c>
      <c r="Q45" s="62">
        <v>0</v>
      </c>
      <c r="R45" s="62">
        <v>0</v>
      </c>
      <c r="S45" s="62">
        <v>87.712765957446805</v>
      </c>
      <c r="T45" s="62">
        <v>100</v>
      </c>
      <c r="U45" s="62">
        <v>63.050957446808518</v>
      </c>
      <c r="V45" s="62">
        <v>96.823999999999998</v>
      </c>
      <c r="W45" s="67">
        <v>0.36148715422265049</v>
      </c>
    </row>
    <row r="46" spans="1:23" ht="14.5" thickBot="1">
      <c r="A46" s="240"/>
      <c r="B46" s="244"/>
      <c r="C46" s="30">
        <v>5</v>
      </c>
      <c r="D46" s="69">
        <v>20.271915699999909</v>
      </c>
      <c r="E46" s="69">
        <v>1.1262175388888838</v>
      </c>
      <c r="F46" s="69">
        <v>887.92792286523184</v>
      </c>
      <c r="G46" s="69">
        <v>3.2198428961748631</v>
      </c>
      <c r="H46" s="69">
        <v>4.9281249999999996</v>
      </c>
      <c r="I46" s="69">
        <v>7158.828125</v>
      </c>
      <c r="J46" s="69">
        <v>8495.7933743169397</v>
      </c>
      <c r="K46" s="69">
        <v>8516.06640625</v>
      </c>
      <c r="L46" s="69">
        <v>1336.9652493169397</v>
      </c>
      <c r="M46" s="69">
        <v>1357.23828125</v>
      </c>
      <c r="N46" s="69">
        <v>7000.55859375</v>
      </c>
      <c r="O46" s="69">
        <v>7000.55859375</v>
      </c>
      <c r="P46" s="69">
        <v>7000.55859375</v>
      </c>
      <c r="Q46" s="69">
        <v>0</v>
      </c>
      <c r="R46" s="69">
        <v>0</v>
      </c>
      <c r="S46" s="69">
        <v>89.240437158469945</v>
      </c>
      <c r="T46" s="69">
        <v>100</v>
      </c>
      <c r="U46" s="69">
        <v>65.551038251366137</v>
      </c>
      <c r="V46" s="69">
        <v>82.945999999999998</v>
      </c>
      <c r="W46" s="70">
        <v>0.36698260083849932</v>
      </c>
    </row>
    <row r="47" spans="1:23">
      <c r="A47" s="240"/>
      <c r="B47" s="245" t="s">
        <v>3</v>
      </c>
      <c r="C47" s="63">
        <v>1</v>
      </c>
      <c r="D47" s="64">
        <v>8.0137559999999439</v>
      </c>
      <c r="E47" s="64">
        <v>1.3443643683945554</v>
      </c>
      <c r="F47" s="64">
        <v>743.84595687715489</v>
      </c>
      <c r="G47" s="64">
        <v>3.1924657534246572</v>
      </c>
      <c r="H47" s="64">
        <v>5.078125</v>
      </c>
      <c r="I47" s="64">
        <v>6968.984375</v>
      </c>
      <c r="J47" s="64">
        <v>7426.7486087328771</v>
      </c>
      <c r="K47" s="64">
        <v>7445.3828125</v>
      </c>
      <c r="L47" s="64">
        <v>457.76423373287707</v>
      </c>
      <c r="M47" s="64">
        <v>476.3984375</v>
      </c>
      <c r="N47" s="64">
        <v>7000.55859375</v>
      </c>
      <c r="O47" s="64">
        <v>7000.55859375</v>
      </c>
      <c r="P47" s="64">
        <v>7000.55859375</v>
      </c>
      <c r="Q47" s="64">
        <v>0</v>
      </c>
      <c r="R47" s="64">
        <v>0</v>
      </c>
      <c r="S47" s="64">
        <v>80.424657534246577</v>
      </c>
      <c r="T47" s="64">
        <v>91</v>
      </c>
      <c r="U47" s="64">
        <v>50.618561643835612</v>
      </c>
      <c r="V47" s="64">
        <v>80.7</v>
      </c>
      <c r="W47" s="80">
        <v>0.11239942465101453</v>
      </c>
    </row>
    <row r="48" spans="1:23">
      <c r="A48" s="240"/>
      <c r="B48" s="245"/>
      <c r="C48" s="9">
        <v>2</v>
      </c>
      <c r="D48" s="61">
        <v>7.1905409999999392</v>
      </c>
      <c r="E48" s="61">
        <v>1.2062642174131755</v>
      </c>
      <c r="F48" s="61">
        <v>829.0057730009537</v>
      </c>
      <c r="G48" s="61">
        <v>3.2454071969696967</v>
      </c>
      <c r="H48" s="61">
        <v>4.296875</v>
      </c>
      <c r="I48" s="61">
        <v>6970.8203125</v>
      </c>
      <c r="J48" s="61">
        <v>7428.658439867424</v>
      </c>
      <c r="K48" s="61">
        <v>7445.8671875</v>
      </c>
      <c r="L48" s="61">
        <v>457.83812736742402</v>
      </c>
      <c r="M48" s="61">
        <v>475.046875</v>
      </c>
      <c r="N48" s="61">
        <v>7000.55859375</v>
      </c>
      <c r="O48" s="61">
        <v>7000.55859375</v>
      </c>
      <c r="P48" s="61">
        <v>7000.55859375</v>
      </c>
      <c r="Q48" s="61">
        <v>0</v>
      </c>
      <c r="R48" s="61">
        <v>0</v>
      </c>
      <c r="S48" s="61">
        <v>85.969696969696969</v>
      </c>
      <c r="T48" s="61">
        <v>94</v>
      </c>
      <c r="U48" s="61">
        <v>54.612787878787877</v>
      </c>
      <c r="V48" s="61">
        <v>72.572999999999993</v>
      </c>
      <c r="W48" s="68">
        <v>0.10891818546331906</v>
      </c>
    </row>
    <row r="49" spans="1:23">
      <c r="A49" s="240"/>
      <c r="B49" s="245"/>
      <c r="C49" s="10">
        <v>3</v>
      </c>
      <c r="D49" s="62">
        <v>7.0265276000000085</v>
      </c>
      <c r="E49" s="62">
        <v>1.1787498070793505</v>
      </c>
      <c r="F49" s="62">
        <v>848.35644849669313</v>
      </c>
      <c r="G49" s="62">
        <v>3.1902832031249999</v>
      </c>
      <c r="H49" s="62">
        <v>4.4749999999999996</v>
      </c>
      <c r="I49" s="62">
        <v>6970.9921875</v>
      </c>
      <c r="J49" s="62">
        <v>7428.2456665039063</v>
      </c>
      <c r="K49" s="62">
        <v>7446.0390625</v>
      </c>
      <c r="L49" s="62">
        <v>457.25347900390625</v>
      </c>
      <c r="M49" s="62">
        <v>475.046875</v>
      </c>
      <c r="N49" s="62">
        <v>7000.55859375</v>
      </c>
      <c r="O49" s="62">
        <v>7000.55859375</v>
      </c>
      <c r="P49" s="62">
        <v>7000.55859375</v>
      </c>
      <c r="Q49" s="62">
        <v>0</v>
      </c>
      <c r="R49" s="62">
        <v>0</v>
      </c>
      <c r="S49" s="62">
        <v>86.9375</v>
      </c>
      <c r="T49" s="62">
        <v>100</v>
      </c>
      <c r="U49" s="62">
        <v>55.673640624999997</v>
      </c>
      <c r="V49" s="62">
        <v>71.664000000000001</v>
      </c>
      <c r="W49" s="67">
        <v>0.10781541700469487</v>
      </c>
    </row>
    <row r="50" spans="1:23">
      <c r="A50" s="240"/>
      <c r="B50" s="245"/>
      <c r="C50" s="9">
        <v>4</v>
      </c>
      <c r="D50" s="61">
        <v>7.2351336000000401</v>
      </c>
      <c r="E50" s="61">
        <v>1.2137449421238113</v>
      </c>
      <c r="F50" s="61">
        <v>823.89632722192812</v>
      </c>
      <c r="G50" s="61">
        <v>3.074810606060606</v>
      </c>
      <c r="H50" s="61">
        <v>4.4781250000000004</v>
      </c>
      <c r="I50" s="61">
        <v>6971.01171875</v>
      </c>
      <c r="J50" s="61">
        <v>7428.796519886364</v>
      </c>
      <c r="K50" s="61">
        <v>7446.65234375</v>
      </c>
      <c r="L50" s="61">
        <v>457.78480113636397</v>
      </c>
      <c r="M50" s="61">
        <v>475.640625</v>
      </c>
      <c r="N50" s="61">
        <v>7000.55859375</v>
      </c>
      <c r="O50" s="61">
        <v>7000.55859375</v>
      </c>
      <c r="P50" s="61">
        <v>7000.55859375</v>
      </c>
      <c r="Q50" s="61">
        <v>0</v>
      </c>
      <c r="R50" s="61">
        <v>0</v>
      </c>
      <c r="S50" s="61">
        <v>87.151515151515156</v>
      </c>
      <c r="T50" s="61">
        <v>100</v>
      </c>
      <c r="U50" s="61">
        <v>53.397393939393943</v>
      </c>
      <c r="V50" s="61">
        <v>69.480999999999995</v>
      </c>
      <c r="W50" s="68">
        <v>0.10575941909598507</v>
      </c>
    </row>
    <row r="51" spans="1:23" ht="14.5" thickBot="1">
      <c r="A51" s="240"/>
      <c r="B51" s="245"/>
      <c r="C51" s="76">
        <v>5</v>
      </c>
      <c r="D51" s="77">
        <v>7.0135718999999881</v>
      </c>
      <c r="E51" s="77">
        <v>1.1765763965777534</v>
      </c>
      <c r="F51" s="77">
        <v>849.92356034733314</v>
      </c>
      <c r="G51" s="77">
        <v>3.1817382812500004</v>
      </c>
      <c r="H51" s="77">
        <v>6.71875</v>
      </c>
      <c r="I51" s="77">
        <v>6971.0390625</v>
      </c>
      <c r="J51" s="77">
        <v>7426.6473999023438</v>
      </c>
      <c r="K51" s="77">
        <v>7446.52734375</v>
      </c>
      <c r="L51" s="77">
        <v>455.60833740234375</v>
      </c>
      <c r="M51" s="77">
        <v>475.48828125</v>
      </c>
      <c r="N51" s="77">
        <v>7000.55859375</v>
      </c>
      <c r="O51" s="77">
        <v>7000.55859375</v>
      </c>
      <c r="P51" s="77">
        <v>7000.55859375</v>
      </c>
      <c r="Q51" s="77">
        <v>0</v>
      </c>
      <c r="R51" s="77">
        <v>0</v>
      </c>
      <c r="S51" s="77">
        <v>86.75</v>
      </c>
      <c r="T51" s="77">
        <v>94</v>
      </c>
      <c r="U51" s="77">
        <v>56.182015624999998</v>
      </c>
      <c r="V51" s="77">
        <v>72.733000000000004</v>
      </c>
      <c r="W51" s="81">
        <v>0.10971869348355567</v>
      </c>
    </row>
    <row r="52" spans="1:23">
      <c r="A52" s="240"/>
      <c r="B52" s="242" t="s">
        <v>4</v>
      </c>
      <c r="C52" s="33">
        <v>1</v>
      </c>
      <c r="D52" s="65">
        <v>4.517353700000001</v>
      </c>
      <c r="E52" s="65">
        <v>1.5057845666666669</v>
      </c>
      <c r="F52" s="65">
        <v>664.10562449426959</v>
      </c>
      <c r="G52" s="65">
        <v>3.0749999999999997</v>
      </c>
      <c r="H52" s="65">
        <v>7.1687500000000002</v>
      </c>
      <c r="I52" s="65">
        <v>6247.01953125</v>
      </c>
      <c r="J52" s="65">
        <v>6483.4681140988368</v>
      </c>
      <c r="K52" s="65">
        <v>6507.09765625</v>
      </c>
      <c r="L52" s="65">
        <v>236.44858284883685</v>
      </c>
      <c r="M52" s="65">
        <v>260.078125</v>
      </c>
      <c r="N52" s="65">
        <v>7000.55859375</v>
      </c>
      <c r="O52" s="65">
        <v>7000.55859375</v>
      </c>
      <c r="P52" s="65">
        <v>7000.55859375</v>
      </c>
      <c r="Q52" s="65">
        <v>0</v>
      </c>
      <c r="R52" s="65">
        <v>0</v>
      </c>
      <c r="S52" s="65">
        <v>66.651162790697668</v>
      </c>
      <c r="T52" s="65">
        <v>88</v>
      </c>
      <c r="U52" s="65">
        <v>43.37823255813953</v>
      </c>
      <c r="V52" s="65">
        <v>66.873999999999995</v>
      </c>
      <c r="W52" s="66">
        <v>5.5136946895444558E-2</v>
      </c>
    </row>
    <row r="53" spans="1:23">
      <c r="A53" s="240"/>
      <c r="B53" s="243"/>
      <c r="C53" s="9">
        <v>2</v>
      </c>
      <c r="D53" s="62">
        <v>3.4775568999999678</v>
      </c>
      <c r="E53" s="62">
        <v>1.1591856333333226</v>
      </c>
      <c r="F53" s="62">
        <v>862.67459779019805</v>
      </c>
      <c r="G53" s="62">
        <v>3.010511363636363</v>
      </c>
      <c r="H53" s="62">
        <v>4.4781250000000004</v>
      </c>
      <c r="I53" s="62">
        <v>6249.07421875</v>
      </c>
      <c r="J53" s="62">
        <v>6483.888612689394</v>
      </c>
      <c r="K53" s="62">
        <v>6507.23828125</v>
      </c>
      <c r="L53" s="62">
        <v>234.81439393939399</v>
      </c>
      <c r="M53" s="62">
        <v>258.1640625</v>
      </c>
      <c r="N53" s="62">
        <v>7000.55859375</v>
      </c>
      <c r="O53" s="62">
        <v>7000.55859375</v>
      </c>
      <c r="P53" s="62">
        <v>7000.55859375</v>
      </c>
      <c r="Q53" s="62">
        <v>0</v>
      </c>
      <c r="R53" s="62">
        <v>0</v>
      </c>
      <c r="S53" s="62">
        <v>81.303030303030297</v>
      </c>
      <c r="T53" s="62">
        <v>87</v>
      </c>
      <c r="U53" s="62">
        <v>50.24366666666667</v>
      </c>
      <c r="V53" s="62">
        <v>74.936000000000007</v>
      </c>
      <c r="W53" s="67">
        <v>4.8329104067777628E-2</v>
      </c>
    </row>
    <row r="54" spans="1:23">
      <c r="A54" s="240"/>
      <c r="B54" s="243"/>
      <c r="C54" s="10">
        <v>3</v>
      </c>
      <c r="D54" s="61">
        <v>3.4479716999999823</v>
      </c>
      <c r="E54" s="61">
        <v>1.1493238999999942</v>
      </c>
      <c r="F54" s="61">
        <v>870.07674685961467</v>
      </c>
      <c r="G54" s="61">
        <v>2.9738281249999998</v>
      </c>
      <c r="H54" s="61">
        <v>4.03125</v>
      </c>
      <c r="I54" s="61">
        <v>6249.16015625</v>
      </c>
      <c r="J54" s="61">
        <v>6484.2728271484375</v>
      </c>
      <c r="K54" s="61">
        <v>6508.48828125</v>
      </c>
      <c r="L54" s="61">
        <v>235.1126708984375</v>
      </c>
      <c r="M54" s="61">
        <v>259.328125</v>
      </c>
      <c r="N54" s="61">
        <v>7000.55859375</v>
      </c>
      <c r="O54" s="61">
        <v>7000.55859375</v>
      </c>
      <c r="P54" s="61">
        <v>7000.55859375</v>
      </c>
      <c r="Q54" s="61">
        <v>0</v>
      </c>
      <c r="R54" s="61">
        <v>0</v>
      </c>
      <c r="S54" s="61">
        <v>81.78125</v>
      </c>
      <c r="T54" s="61">
        <v>90</v>
      </c>
      <c r="U54" s="61">
        <v>50.778124999999996</v>
      </c>
      <c r="V54" s="61">
        <v>72.364000000000004</v>
      </c>
      <c r="W54" s="68">
        <v>4.8595146079930755E-2</v>
      </c>
    </row>
    <row r="55" spans="1:23">
      <c r="A55" s="240"/>
      <c r="B55" s="243"/>
      <c r="C55" s="9">
        <v>4</v>
      </c>
      <c r="D55" s="62">
        <v>3.5925396999999748</v>
      </c>
      <c r="E55" s="62">
        <v>1.1975132333333249</v>
      </c>
      <c r="F55" s="62">
        <v>835.06384076980999</v>
      </c>
      <c r="G55" s="62">
        <v>3.0732536764705887</v>
      </c>
      <c r="H55" s="62">
        <v>4.9281249999999996</v>
      </c>
      <c r="I55" s="62">
        <v>6249.1796875</v>
      </c>
      <c r="J55" s="62">
        <v>6484.595358455882</v>
      </c>
      <c r="K55" s="62">
        <v>6507.3203125</v>
      </c>
      <c r="L55" s="62">
        <v>235.41567095588198</v>
      </c>
      <c r="M55" s="62">
        <v>258.140625</v>
      </c>
      <c r="N55" s="62">
        <v>7000.55859375</v>
      </c>
      <c r="O55" s="62">
        <v>7000.55859375</v>
      </c>
      <c r="P55" s="62">
        <v>7000.55859375</v>
      </c>
      <c r="Q55" s="62">
        <v>0</v>
      </c>
      <c r="R55" s="62">
        <v>0</v>
      </c>
      <c r="S55" s="62">
        <v>81.529411764705884</v>
      </c>
      <c r="T55" s="62">
        <v>90</v>
      </c>
      <c r="U55" s="62">
        <v>48.577117647058834</v>
      </c>
      <c r="V55" s="62">
        <v>72.852999999999994</v>
      </c>
      <c r="W55" s="67">
        <v>4.8247033208792083E-2</v>
      </c>
    </row>
    <row r="56" spans="1:23" ht="14.5" thickBot="1">
      <c r="A56" s="240"/>
      <c r="B56" s="244"/>
      <c r="C56" s="36">
        <v>5</v>
      </c>
      <c r="D56" s="69">
        <v>3.4779379999999946</v>
      </c>
      <c r="E56" s="69">
        <v>1.1593126666666649</v>
      </c>
      <c r="F56" s="69">
        <v>862.58006899490579</v>
      </c>
      <c r="G56" s="69">
        <v>3.0778409090909089</v>
      </c>
      <c r="H56" s="69">
        <v>4.296875</v>
      </c>
      <c r="I56" s="69">
        <v>6249.1875</v>
      </c>
      <c r="J56" s="69">
        <v>6486.222064393939</v>
      </c>
      <c r="K56" s="69">
        <v>6507.33984375</v>
      </c>
      <c r="L56" s="69">
        <v>237.03456439393904</v>
      </c>
      <c r="M56" s="69">
        <v>258.15234375</v>
      </c>
      <c r="N56" s="69">
        <v>7000.55859375</v>
      </c>
      <c r="O56" s="69">
        <v>7000.55859375</v>
      </c>
      <c r="P56" s="69">
        <v>7000.55859375</v>
      </c>
      <c r="Q56" s="69">
        <v>0</v>
      </c>
      <c r="R56" s="69">
        <v>0</v>
      </c>
      <c r="S56" s="69">
        <v>80.36363636363636</v>
      </c>
      <c r="T56" s="69">
        <v>88</v>
      </c>
      <c r="U56" s="69">
        <v>50.958757575757581</v>
      </c>
      <c r="V56" s="69">
        <v>83.543000000000006</v>
      </c>
      <c r="W56" s="70">
        <v>4.9079875061764359E-2</v>
      </c>
    </row>
    <row r="57" spans="1:23">
      <c r="A57" s="240"/>
      <c r="B57" s="246" t="s">
        <v>5</v>
      </c>
      <c r="C57" s="25">
        <v>1</v>
      </c>
      <c r="D57" s="72">
        <v>3.4901889999999867</v>
      </c>
      <c r="E57" s="72">
        <v>1.4101773737373684</v>
      </c>
      <c r="F57" s="72">
        <v>709.1306516638524</v>
      </c>
      <c r="G57" s="72">
        <v>2.9745265151515157</v>
      </c>
      <c r="H57" s="72">
        <v>4.4375</v>
      </c>
      <c r="I57" s="72">
        <v>5227.21484375</v>
      </c>
      <c r="J57" s="72">
        <v>5423.078598484848</v>
      </c>
      <c r="K57" s="72">
        <v>5448.40625</v>
      </c>
      <c r="L57" s="72">
        <v>195.86375473484804</v>
      </c>
      <c r="M57" s="72">
        <v>221.19140625</v>
      </c>
      <c r="N57" s="72">
        <v>7000.55859375</v>
      </c>
      <c r="O57" s="72">
        <v>7000.55859375</v>
      </c>
      <c r="P57" s="72">
        <v>7000.55859375</v>
      </c>
      <c r="Q57" s="72">
        <v>0</v>
      </c>
      <c r="R57" s="72">
        <v>0</v>
      </c>
      <c r="S57" s="72">
        <v>65.575757575757578</v>
      </c>
      <c r="T57" s="72">
        <v>94</v>
      </c>
      <c r="U57" s="72">
        <v>47.163424242424242</v>
      </c>
      <c r="V57" s="72">
        <v>94.709000000000003</v>
      </c>
      <c r="W57" s="73">
        <v>4.5814063956333008E-2</v>
      </c>
    </row>
    <row r="58" spans="1:23">
      <c r="A58" s="240"/>
      <c r="B58" s="245"/>
      <c r="C58" s="10">
        <v>2</v>
      </c>
      <c r="D58" s="61">
        <v>2.7826364999999953</v>
      </c>
      <c r="E58" s="61">
        <v>1.1242975757575737</v>
      </c>
      <c r="F58" s="61">
        <v>889.44423750640954</v>
      </c>
      <c r="G58" s="61">
        <v>3.0149305555555554</v>
      </c>
      <c r="H58" s="61">
        <v>3.9937499999999999</v>
      </c>
      <c r="I58" s="61">
        <v>5229.27734375</v>
      </c>
      <c r="J58" s="61">
        <v>5425.8577835648148</v>
      </c>
      <c r="K58" s="61">
        <v>5449.04296875</v>
      </c>
      <c r="L58" s="61">
        <v>196.58043981481478</v>
      </c>
      <c r="M58" s="61">
        <v>219.765625</v>
      </c>
      <c r="N58" s="61">
        <v>7000.55859375</v>
      </c>
      <c r="O58" s="61">
        <v>7000.55859375</v>
      </c>
      <c r="P58" s="61">
        <v>7000.55859375</v>
      </c>
      <c r="Q58" s="61">
        <v>0</v>
      </c>
      <c r="R58" s="61">
        <v>0</v>
      </c>
      <c r="S58" s="61">
        <v>80.111111111111114</v>
      </c>
      <c r="T58" s="61">
        <v>88</v>
      </c>
      <c r="U58" s="61">
        <v>49.199925925925925</v>
      </c>
      <c r="V58" s="61">
        <v>92.837999999999994</v>
      </c>
      <c r="W58" s="68">
        <v>3.7817960379000051E-2</v>
      </c>
    </row>
    <row r="59" spans="1:23">
      <c r="A59" s="240"/>
      <c r="B59" s="245"/>
      <c r="C59" s="9">
        <v>3</v>
      </c>
      <c r="D59" s="62">
        <v>2.8957027999999809</v>
      </c>
      <c r="E59" s="62">
        <v>1.1699809292929215</v>
      </c>
      <c r="F59" s="62">
        <v>854.71478633788536</v>
      </c>
      <c r="G59" s="62">
        <v>3.0839285714285714</v>
      </c>
      <c r="H59" s="62">
        <v>6.6593749999999998</v>
      </c>
      <c r="I59" s="62">
        <v>5229.41015625</v>
      </c>
      <c r="J59" s="62">
        <v>5425.7018694196431</v>
      </c>
      <c r="K59" s="62">
        <v>5449.10546875</v>
      </c>
      <c r="L59" s="62">
        <v>196.29171316964312</v>
      </c>
      <c r="M59" s="62">
        <v>219.6953125</v>
      </c>
      <c r="N59" s="62">
        <v>7000.55859375</v>
      </c>
      <c r="O59" s="62">
        <v>7000.55859375</v>
      </c>
      <c r="P59" s="62">
        <v>7000.55859375</v>
      </c>
      <c r="Q59" s="62">
        <v>0</v>
      </c>
      <c r="R59" s="62">
        <v>0</v>
      </c>
      <c r="S59" s="62">
        <v>78.357142857142861</v>
      </c>
      <c r="T59" s="62">
        <v>91</v>
      </c>
      <c r="U59" s="62">
        <v>47.870071428571428</v>
      </c>
      <c r="V59" s="62">
        <v>71.978999999999999</v>
      </c>
      <c r="W59" s="67">
        <v>3.8275070199110799E-2</v>
      </c>
    </row>
    <row r="60" spans="1:23">
      <c r="A60" s="240"/>
      <c r="B60" s="245"/>
      <c r="C60" s="9">
        <v>4</v>
      </c>
      <c r="D60" s="61">
        <v>2.8587771999999916</v>
      </c>
      <c r="E60" s="61">
        <v>1.1550614949494915</v>
      </c>
      <c r="F60" s="61">
        <v>865.75477095592032</v>
      </c>
      <c r="G60" s="61">
        <v>2.9591517857142859</v>
      </c>
      <c r="H60" s="61">
        <v>5.328125</v>
      </c>
      <c r="I60" s="61">
        <v>5229.42578125</v>
      </c>
      <c r="J60" s="61">
        <v>5424.9225725446431</v>
      </c>
      <c r="K60" s="61">
        <v>5449.125</v>
      </c>
      <c r="L60" s="61">
        <v>195.49679129464312</v>
      </c>
      <c r="M60" s="61">
        <v>219.69921875</v>
      </c>
      <c r="N60" s="61">
        <v>7000.55859375</v>
      </c>
      <c r="O60" s="61">
        <v>7000.55859375</v>
      </c>
      <c r="P60" s="61">
        <v>7000.55859375</v>
      </c>
      <c r="Q60" s="61">
        <v>0</v>
      </c>
      <c r="R60" s="61">
        <v>0</v>
      </c>
      <c r="S60" s="61">
        <v>77.857142857142861</v>
      </c>
      <c r="T60" s="61">
        <v>94</v>
      </c>
      <c r="U60" s="61">
        <v>48.31417857142857</v>
      </c>
      <c r="V60" s="61">
        <v>72.006</v>
      </c>
      <c r="W60" s="68">
        <v>3.895767169572209E-2</v>
      </c>
    </row>
    <row r="61" spans="1:23" ht="14.5" thickBot="1">
      <c r="A61" s="241"/>
      <c r="B61" s="247"/>
      <c r="C61" s="36">
        <v>5</v>
      </c>
      <c r="D61" s="74">
        <v>2.8350889999999822</v>
      </c>
      <c r="E61" s="74">
        <v>1.1454905050504978</v>
      </c>
      <c r="F61" s="74">
        <v>872.98846702873016</v>
      </c>
      <c r="G61" s="74">
        <v>2.9831018518518526</v>
      </c>
      <c r="H61" s="74">
        <v>4.9281249999999996</v>
      </c>
      <c r="I61" s="74">
        <v>5229.44140625</v>
      </c>
      <c r="J61" s="74">
        <v>5426.2714120370374</v>
      </c>
      <c r="K61" s="74">
        <v>5449.1796875</v>
      </c>
      <c r="L61" s="74">
        <v>196.83000578703741</v>
      </c>
      <c r="M61" s="74">
        <v>219.73828125</v>
      </c>
      <c r="N61" s="74">
        <v>7000.55859375</v>
      </c>
      <c r="O61" s="74">
        <v>7000.55859375</v>
      </c>
      <c r="P61" s="74">
        <v>7000.55859375</v>
      </c>
      <c r="Q61" s="74">
        <v>0</v>
      </c>
      <c r="R61" s="74">
        <v>0</v>
      </c>
      <c r="S61" s="74">
        <v>79.703703703703709</v>
      </c>
      <c r="T61" s="74">
        <v>93</v>
      </c>
      <c r="U61" s="74">
        <v>47.373481481481484</v>
      </c>
      <c r="V61" s="74">
        <v>71.683999999999997</v>
      </c>
      <c r="W61" s="75">
        <v>3.74308817064311E-2</v>
      </c>
    </row>
    <row r="62" spans="1:23">
      <c r="A62" s="239" t="s">
        <v>69</v>
      </c>
      <c r="B62" s="242" t="s">
        <v>2</v>
      </c>
      <c r="C62" s="86">
        <v>1</v>
      </c>
      <c r="D62" s="65">
        <v>2.9045488999997815</v>
      </c>
      <c r="E62" s="65">
        <v>0.16136382777776564</v>
      </c>
      <c r="F62" s="65">
        <v>6197.1757473256357</v>
      </c>
      <c r="G62" s="65">
        <v>3.7112500000000006</v>
      </c>
      <c r="H62" s="65">
        <v>5.375</v>
      </c>
      <c r="I62" s="65">
        <v>8312.11328125</v>
      </c>
      <c r="J62" s="65">
        <v>9526.7104687499996</v>
      </c>
      <c r="K62" s="65">
        <v>9671.01171875</v>
      </c>
      <c r="L62" s="65">
        <v>1214.5971874999996</v>
      </c>
      <c r="M62" s="65">
        <v>1358.8984375</v>
      </c>
      <c r="N62" s="65">
        <v>7183.2265625</v>
      </c>
      <c r="O62" s="65">
        <v>7183.2265625</v>
      </c>
      <c r="P62" s="65">
        <v>7183.2265625</v>
      </c>
      <c r="Q62" s="65">
        <v>0</v>
      </c>
      <c r="R62" s="65">
        <v>0</v>
      </c>
      <c r="S62" s="65">
        <v>56.88</v>
      </c>
      <c r="T62" s="65">
        <v>100</v>
      </c>
      <c r="U62" s="65">
        <v>36.967119999999994</v>
      </c>
      <c r="V62" s="65">
        <v>69.787999999999997</v>
      </c>
      <c r="W62" s="66">
        <v>2.8700901836763139E-2</v>
      </c>
    </row>
    <row r="63" spans="1:23">
      <c r="A63" s="240"/>
      <c r="B63" s="243"/>
      <c r="C63" s="87">
        <v>2</v>
      </c>
      <c r="D63" s="62">
        <v>2.6001991999999063</v>
      </c>
      <c r="E63" s="62">
        <v>0.14445551111110591</v>
      </c>
      <c r="F63" s="62">
        <v>6922.5465495107637</v>
      </c>
      <c r="G63" s="62">
        <v>4.3332031249999998</v>
      </c>
      <c r="H63" s="62">
        <v>6.71875</v>
      </c>
      <c r="I63" s="62">
        <v>8353.07421875</v>
      </c>
      <c r="J63" s="62">
        <v>9560.1764322916661</v>
      </c>
      <c r="K63" s="62">
        <v>9709.9609375</v>
      </c>
      <c r="L63" s="62">
        <v>1207.1022135416661</v>
      </c>
      <c r="M63" s="62">
        <v>1356.88671875</v>
      </c>
      <c r="N63" s="62">
        <v>7183.2265625</v>
      </c>
      <c r="O63" s="62">
        <v>7183.2265625</v>
      </c>
      <c r="P63" s="62">
        <v>7183.2265625</v>
      </c>
      <c r="Q63" s="62">
        <v>0</v>
      </c>
      <c r="R63" s="62">
        <v>0</v>
      </c>
      <c r="S63" s="62">
        <v>63.625</v>
      </c>
      <c r="T63" s="62">
        <v>100</v>
      </c>
      <c r="U63" s="62">
        <v>37.956208333333336</v>
      </c>
      <c r="V63" s="62">
        <v>60.517000000000003</v>
      </c>
      <c r="W63" s="67">
        <v>2.6911164885319236E-2</v>
      </c>
    </row>
    <row r="64" spans="1:23">
      <c r="A64" s="240"/>
      <c r="B64" s="243"/>
      <c r="C64" s="88">
        <v>3</v>
      </c>
      <c r="D64" s="61">
        <v>2.6236109999999826</v>
      </c>
      <c r="E64" s="61">
        <v>0.14575616666666569</v>
      </c>
      <c r="F64" s="61">
        <v>6860.7731862688943</v>
      </c>
      <c r="G64" s="61">
        <v>4.7817708333333337</v>
      </c>
      <c r="H64" s="61">
        <v>27.465624999999999</v>
      </c>
      <c r="I64" s="61">
        <v>8354.125</v>
      </c>
      <c r="J64" s="61">
        <v>9563.84423828125</v>
      </c>
      <c r="K64" s="61">
        <v>9711.4921875</v>
      </c>
      <c r="L64" s="61">
        <v>1209.71923828125</v>
      </c>
      <c r="M64" s="61">
        <v>1357.3671875</v>
      </c>
      <c r="N64" s="61">
        <v>7183.2265625</v>
      </c>
      <c r="O64" s="61">
        <v>7183.2265625</v>
      </c>
      <c r="P64" s="61">
        <v>7183.2265625</v>
      </c>
      <c r="Q64" s="61">
        <v>0</v>
      </c>
      <c r="R64" s="61">
        <v>0</v>
      </c>
      <c r="S64" s="61">
        <v>62.958333333333336</v>
      </c>
      <c r="T64" s="61">
        <v>100</v>
      </c>
      <c r="U64" s="61">
        <v>39.845333333333336</v>
      </c>
      <c r="V64" s="61">
        <v>58.761000000000003</v>
      </c>
      <c r="W64" s="68">
        <v>2.7176290493404597E-2</v>
      </c>
    </row>
    <row r="65" spans="1:23">
      <c r="A65" s="240"/>
      <c r="B65" s="243"/>
      <c r="C65" s="87">
        <v>4</v>
      </c>
      <c r="D65" s="62">
        <v>2.633234899999934</v>
      </c>
      <c r="E65" s="62">
        <v>0.14629082777777411</v>
      </c>
      <c r="F65" s="62">
        <v>6835.698554656271</v>
      </c>
      <c r="G65" s="62">
        <v>3.9567708333333336</v>
      </c>
      <c r="H65" s="62">
        <v>9.15625</v>
      </c>
      <c r="I65" s="62">
        <v>8354.74609375</v>
      </c>
      <c r="J65" s="62">
        <v>9561.62451171875</v>
      </c>
      <c r="K65" s="62">
        <v>9712.4921875</v>
      </c>
      <c r="L65" s="62">
        <v>1206.87841796875</v>
      </c>
      <c r="M65" s="62">
        <v>1357.74609375</v>
      </c>
      <c r="N65" s="62">
        <v>7183.2265625</v>
      </c>
      <c r="O65" s="62">
        <v>7183.2265625</v>
      </c>
      <c r="P65" s="62">
        <v>7183.2265625</v>
      </c>
      <c r="Q65" s="62">
        <v>0</v>
      </c>
      <c r="R65" s="62">
        <v>0</v>
      </c>
      <c r="S65" s="62">
        <v>60.541666666666664</v>
      </c>
      <c r="T65" s="62">
        <v>95</v>
      </c>
      <c r="U65" s="62">
        <v>36.171208333333333</v>
      </c>
      <c r="V65" s="62">
        <v>59.622999999999998</v>
      </c>
      <c r="W65" s="67">
        <v>2.598488398436119E-2</v>
      </c>
    </row>
    <row r="66" spans="1:23" ht="14.5" thickBot="1">
      <c r="A66" s="240"/>
      <c r="B66" s="244"/>
      <c r="C66" s="88">
        <v>5</v>
      </c>
      <c r="D66" s="61">
        <v>2.5156521000001248</v>
      </c>
      <c r="E66" s="61">
        <v>0.13975845000000692</v>
      </c>
      <c r="F66" s="61">
        <v>7155.2024224649767</v>
      </c>
      <c r="G66" s="61">
        <v>4.0007812499999993</v>
      </c>
      <c r="H66" s="61">
        <v>6.6593749999999998</v>
      </c>
      <c r="I66" s="61">
        <v>8356.0546875</v>
      </c>
      <c r="J66" s="61">
        <v>9563.2942708333339</v>
      </c>
      <c r="K66" s="61">
        <v>9712.8359375</v>
      </c>
      <c r="L66" s="61">
        <v>1207.2395833333339</v>
      </c>
      <c r="M66" s="61">
        <v>1356.78125</v>
      </c>
      <c r="N66" s="61">
        <v>7183.2265625</v>
      </c>
      <c r="O66" s="61">
        <v>7183.2265625</v>
      </c>
      <c r="P66" s="61">
        <v>7183.2265625</v>
      </c>
      <c r="Q66" s="61">
        <v>0</v>
      </c>
      <c r="R66" s="61">
        <v>0</v>
      </c>
      <c r="S66" s="61">
        <v>61.166666666666664</v>
      </c>
      <c r="T66" s="61">
        <v>81</v>
      </c>
      <c r="U66" s="61">
        <v>36.839083333333335</v>
      </c>
      <c r="V66" s="61">
        <v>59.186999999999998</v>
      </c>
      <c r="W66" s="68">
        <v>2.6081453325291326E-2</v>
      </c>
    </row>
    <row r="67" spans="1:23">
      <c r="A67" s="240"/>
      <c r="B67" s="245" t="s">
        <v>3</v>
      </c>
      <c r="C67" s="87">
        <v>1</v>
      </c>
      <c r="D67" s="62">
        <v>1.3106767999997828</v>
      </c>
      <c r="E67" s="62">
        <v>0.21987532293235748</v>
      </c>
      <c r="F67" s="62">
        <v>4548.0319785937982</v>
      </c>
      <c r="G67" s="62">
        <v>3.6028846153846152</v>
      </c>
      <c r="H67" s="62">
        <v>8.8781250000000007</v>
      </c>
      <c r="I67" s="62">
        <v>6780.68359375</v>
      </c>
      <c r="J67" s="62">
        <v>7176.50390625</v>
      </c>
      <c r="K67" s="62">
        <v>7259.33203125</v>
      </c>
      <c r="L67" s="62">
        <v>395.8203125</v>
      </c>
      <c r="M67" s="62">
        <v>478.6484375</v>
      </c>
      <c r="N67" s="62">
        <v>7183.1875</v>
      </c>
      <c r="O67" s="62">
        <v>7183.1875</v>
      </c>
      <c r="P67" s="62">
        <v>7183.1875</v>
      </c>
      <c r="Q67" s="62">
        <v>0</v>
      </c>
      <c r="R67" s="62">
        <v>0</v>
      </c>
      <c r="S67" s="62">
        <v>52.692307692307693</v>
      </c>
      <c r="T67" s="62">
        <v>77</v>
      </c>
      <c r="U67" s="62">
        <v>16.957692307692305</v>
      </c>
      <c r="V67" s="62">
        <v>41.747999999999998</v>
      </c>
      <c r="W67" s="67">
        <v>5.0661184318753893E-3</v>
      </c>
    </row>
    <row r="68" spans="1:23">
      <c r="A68" s="240"/>
      <c r="B68" s="245"/>
      <c r="C68" s="88">
        <v>2</v>
      </c>
      <c r="D68" s="61">
        <v>1.2186602000001585</v>
      </c>
      <c r="E68" s="61">
        <v>0.20443888609296401</v>
      </c>
      <c r="F68" s="61">
        <v>4891.4373342127892</v>
      </c>
      <c r="G68" s="61">
        <v>2.9107954545454544</v>
      </c>
      <c r="H68" s="61">
        <v>4.8843750000000004</v>
      </c>
      <c r="I68" s="61">
        <v>6797.34375</v>
      </c>
      <c r="J68" s="61">
        <v>7174.149857954545</v>
      </c>
      <c r="K68" s="61">
        <v>7272.390625</v>
      </c>
      <c r="L68" s="61">
        <v>376.80610795454504</v>
      </c>
      <c r="M68" s="61">
        <v>475.046875</v>
      </c>
      <c r="N68" s="61">
        <v>7183.1875</v>
      </c>
      <c r="O68" s="61">
        <v>7183.1875</v>
      </c>
      <c r="P68" s="61">
        <v>7183.1875</v>
      </c>
      <c r="Q68" s="61">
        <v>0</v>
      </c>
      <c r="R68" s="61">
        <v>0</v>
      </c>
      <c r="S68" s="61">
        <v>62.18181818181818</v>
      </c>
      <c r="T68" s="61">
        <v>94</v>
      </c>
      <c r="U68" s="61">
        <v>16.717181818181817</v>
      </c>
      <c r="V68" s="61">
        <v>40.134999999999998</v>
      </c>
      <c r="W68" s="68">
        <v>4.5483753548755121E-3</v>
      </c>
    </row>
    <row r="69" spans="1:23">
      <c r="A69" s="240"/>
      <c r="B69" s="245"/>
      <c r="C69" s="87">
        <v>3</v>
      </c>
      <c r="D69" s="62">
        <v>1.0553256999999121</v>
      </c>
      <c r="E69" s="62">
        <v>0.17703836604595072</v>
      </c>
      <c r="F69" s="62">
        <v>5648.4931618745723</v>
      </c>
      <c r="G69" s="62">
        <v>3.5894886363636362</v>
      </c>
      <c r="H69" s="62">
        <v>6.234375</v>
      </c>
      <c r="I69" s="62">
        <v>6798.296875</v>
      </c>
      <c r="J69" s="62">
        <v>7176.587357954545</v>
      </c>
      <c r="K69" s="62">
        <v>7273.3515625</v>
      </c>
      <c r="L69" s="62">
        <v>378.29048295454504</v>
      </c>
      <c r="M69" s="62">
        <v>475.0546875</v>
      </c>
      <c r="N69" s="62">
        <v>7183.1875</v>
      </c>
      <c r="O69" s="62">
        <v>7183.1875</v>
      </c>
      <c r="P69" s="62">
        <v>7183.1875</v>
      </c>
      <c r="Q69" s="62">
        <v>0</v>
      </c>
      <c r="R69" s="62">
        <v>0</v>
      </c>
      <c r="S69" s="62">
        <v>55</v>
      </c>
      <c r="T69" s="62">
        <v>80</v>
      </c>
      <c r="U69" s="62">
        <v>14.945545454545455</v>
      </c>
      <c r="V69" s="62">
        <v>38.055</v>
      </c>
      <c r="W69" s="67">
        <v>3.6716725505015562E-3</v>
      </c>
    </row>
    <row r="70" spans="1:23">
      <c r="A70" s="240"/>
      <c r="B70" s="245"/>
      <c r="C70" s="88">
        <v>4</v>
      </c>
      <c r="D70" s="61">
        <v>1.1170397999999295</v>
      </c>
      <c r="E70" s="61">
        <v>0.18739134373426095</v>
      </c>
      <c r="F70" s="61">
        <v>5336.4257925280517</v>
      </c>
      <c r="G70" s="61">
        <v>3.2306818181818184</v>
      </c>
      <c r="H70" s="61">
        <v>4.4781250000000004</v>
      </c>
      <c r="I70" s="61">
        <v>6798.609375</v>
      </c>
      <c r="J70" s="61">
        <v>7178.784090909091</v>
      </c>
      <c r="K70" s="61">
        <v>7273.64453125</v>
      </c>
      <c r="L70" s="61">
        <v>380.17471590909099</v>
      </c>
      <c r="M70" s="61">
        <v>475.03515625</v>
      </c>
      <c r="N70" s="61">
        <v>7183.1875</v>
      </c>
      <c r="O70" s="61">
        <v>7183.1875</v>
      </c>
      <c r="P70" s="61">
        <v>7183.1875</v>
      </c>
      <c r="Q70" s="61">
        <v>0</v>
      </c>
      <c r="R70" s="61">
        <v>0</v>
      </c>
      <c r="S70" s="61">
        <v>64.181818181818187</v>
      </c>
      <c r="T70" s="61">
        <v>100</v>
      </c>
      <c r="U70" s="61">
        <v>16.484636363636362</v>
      </c>
      <c r="V70" s="61">
        <v>40.048000000000002</v>
      </c>
      <c r="W70" s="68">
        <v>3.9530118287907853E-3</v>
      </c>
    </row>
    <row r="71" spans="1:23" ht="14.5" thickBot="1">
      <c r="A71" s="240"/>
      <c r="B71" s="245"/>
      <c r="C71" s="87">
        <v>5</v>
      </c>
      <c r="D71" s="62">
        <v>1.0785611000001154</v>
      </c>
      <c r="E71" s="62">
        <v>0.18093626908238811</v>
      </c>
      <c r="F71" s="62">
        <v>5526.8078924776373</v>
      </c>
      <c r="G71" s="62">
        <v>3.0105113636363638</v>
      </c>
      <c r="H71" s="62">
        <v>4.8843750000000004</v>
      </c>
      <c r="I71" s="62">
        <v>6799.3046875</v>
      </c>
      <c r="J71" s="62">
        <v>7179.35546875</v>
      </c>
      <c r="K71" s="62">
        <v>7274.3203125</v>
      </c>
      <c r="L71" s="62">
        <v>380.05078125</v>
      </c>
      <c r="M71" s="62">
        <v>475.015625</v>
      </c>
      <c r="N71" s="62">
        <v>7183.1875</v>
      </c>
      <c r="O71" s="62">
        <v>7183.1875</v>
      </c>
      <c r="P71" s="62">
        <v>7183.1875</v>
      </c>
      <c r="Q71" s="62">
        <v>0</v>
      </c>
      <c r="R71" s="62">
        <v>0</v>
      </c>
      <c r="S71" s="62">
        <v>62.727272727272727</v>
      </c>
      <c r="T71" s="62">
        <v>89</v>
      </c>
      <c r="U71" s="62">
        <v>14.367909090909091</v>
      </c>
      <c r="V71" s="62">
        <v>41.125999999999998</v>
      </c>
      <c r="W71" s="67">
        <v>3.1379687872908342E-3</v>
      </c>
    </row>
    <row r="72" spans="1:23">
      <c r="A72" s="240"/>
      <c r="B72" s="242" t="s">
        <v>4</v>
      </c>
      <c r="C72" s="88">
        <v>1</v>
      </c>
      <c r="D72" s="61">
        <v>0.94528680000001941</v>
      </c>
      <c r="E72" s="61">
        <v>0.31509560000000647</v>
      </c>
      <c r="F72" s="61">
        <v>3173.6400000507128</v>
      </c>
      <c r="G72" s="61">
        <v>2.6531250000000002</v>
      </c>
      <c r="H72" s="61">
        <v>4.9281249999999996</v>
      </c>
      <c r="I72" s="61">
        <v>6034.4296875</v>
      </c>
      <c r="J72" s="61">
        <v>6224.3628906249996</v>
      </c>
      <c r="K72" s="61">
        <v>6294.7265625</v>
      </c>
      <c r="L72" s="61">
        <v>189.93320312499964</v>
      </c>
      <c r="M72" s="61">
        <v>260.296875</v>
      </c>
      <c r="N72" s="61">
        <v>7183.1875</v>
      </c>
      <c r="O72" s="61">
        <v>7183.1875</v>
      </c>
      <c r="P72" s="61">
        <v>7183.1875</v>
      </c>
      <c r="Q72" s="61">
        <v>0</v>
      </c>
      <c r="R72" s="61">
        <v>0</v>
      </c>
      <c r="S72" s="61">
        <v>61.9</v>
      </c>
      <c r="T72" s="61">
        <v>75</v>
      </c>
      <c r="U72" s="61">
        <v>5.1764000000000001</v>
      </c>
      <c r="V72" s="61">
        <v>12.337999999999999</v>
      </c>
      <c r="W72" s="68">
        <v>1.1442520274306395E-3</v>
      </c>
    </row>
    <row r="73" spans="1:23">
      <c r="A73" s="240"/>
      <c r="B73" s="243"/>
      <c r="C73" s="87">
        <v>2</v>
      </c>
      <c r="D73" s="62">
        <v>0.67464719999998124</v>
      </c>
      <c r="E73" s="62">
        <v>0.22488239999999374</v>
      </c>
      <c r="F73" s="62">
        <v>4446.7686221777594</v>
      </c>
      <c r="G73" s="62">
        <v>2.8675781249999996</v>
      </c>
      <c r="H73" s="62">
        <v>5.375</v>
      </c>
      <c r="I73" s="62">
        <v>6044.6015625</v>
      </c>
      <c r="J73" s="62">
        <v>6228.33544921875</v>
      </c>
      <c r="K73" s="62">
        <v>6303.22265625</v>
      </c>
      <c r="L73" s="62">
        <v>183.73388671875</v>
      </c>
      <c r="M73" s="62">
        <v>258.62109375</v>
      </c>
      <c r="N73" s="62">
        <v>7183.1875</v>
      </c>
      <c r="O73" s="62">
        <v>7183.1875</v>
      </c>
      <c r="P73" s="62">
        <v>7183.1875</v>
      </c>
      <c r="Q73" s="62">
        <v>0</v>
      </c>
      <c r="R73" s="62">
        <v>0</v>
      </c>
      <c r="S73" s="62">
        <v>51.375</v>
      </c>
      <c r="T73" s="62">
        <v>81</v>
      </c>
      <c r="U73" s="62">
        <v>9.1814999999999998</v>
      </c>
      <c r="V73" s="62">
        <v>14.3</v>
      </c>
      <c r="W73" s="67">
        <v>1.6262525584582928E-3</v>
      </c>
    </row>
    <row r="74" spans="1:23">
      <c r="A74" s="240"/>
      <c r="B74" s="243"/>
      <c r="C74" s="88">
        <v>3</v>
      </c>
      <c r="D74" s="61">
        <v>0.70612629999999399</v>
      </c>
      <c r="E74" s="61">
        <v>0.23537543333333133</v>
      </c>
      <c r="F74" s="61">
        <v>4248.5317428341441</v>
      </c>
      <c r="G74" s="61">
        <v>3.1710937500000003</v>
      </c>
      <c r="H74" s="61">
        <v>5.8250000000000002</v>
      </c>
      <c r="I74" s="61">
        <v>6045.71484375</v>
      </c>
      <c r="J74" s="61">
        <v>6229.69775390625</v>
      </c>
      <c r="K74" s="61">
        <v>6303.8828125</v>
      </c>
      <c r="L74" s="61">
        <v>183.98291015625</v>
      </c>
      <c r="M74" s="61">
        <v>258.16796875</v>
      </c>
      <c r="N74" s="61">
        <v>7183.1875</v>
      </c>
      <c r="O74" s="61">
        <v>7183.1875</v>
      </c>
      <c r="P74" s="61">
        <v>7183.1875</v>
      </c>
      <c r="Q74" s="61">
        <v>0</v>
      </c>
      <c r="R74" s="61">
        <v>0</v>
      </c>
      <c r="S74" s="61">
        <v>44.625</v>
      </c>
      <c r="T74" s="61">
        <v>82</v>
      </c>
      <c r="U74" s="61">
        <v>7.8602499999999997</v>
      </c>
      <c r="V74" s="61">
        <v>12.968</v>
      </c>
      <c r="W74" s="68">
        <v>1.4888272102639918E-3</v>
      </c>
    </row>
    <row r="75" spans="1:23">
      <c r="A75" s="240"/>
      <c r="B75" s="243"/>
      <c r="C75" s="87">
        <v>4</v>
      </c>
      <c r="D75" s="62">
        <v>0.6968838999999889</v>
      </c>
      <c r="E75" s="62">
        <v>0.23229463333332961</v>
      </c>
      <c r="F75" s="62">
        <v>4304.8777565388555</v>
      </c>
      <c r="G75" s="62">
        <v>2.5671875000000002</v>
      </c>
      <c r="H75" s="62">
        <v>4.03125</v>
      </c>
      <c r="I75" s="62">
        <v>6046.3359375</v>
      </c>
      <c r="J75" s="62">
        <v>6222.58837890625</v>
      </c>
      <c r="K75" s="62">
        <v>6304.4765625</v>
      </c>
      <c r="L75" s="62">
        <v>176.25244140625</v>
      </c>
      <c r="M75" s="62">
        <v>258.140625</v>
      </c>
      <c r="N75" s="62">
        <v>7183.1875</v>
      </c>
      <c r="O75" s="62">
        <v>7183.1875</v>
      </c>
      <c r="P75" s="62">
        <v>7183.1875</v>
      </c>
      <c r="Q75" s="62">
        <v>0</v>
      </c>
      <c r="R75" s="62">
        <v>0</v>
      </c>
      <c r="S75" s="62">
        <v>51.75</v>
      </c>
      <c r="T75" s="62">
        <v>87</v>
      </c>
      <c r="U75" s="62">
        <v>6.3227499999999992</v>
      </c>
      <c r="V75" s="62">
        <v>12.247999999999999</v>
      </c>
      <c r="W75" s="67">
        <v>1.157636716014009E-3</v>
      </c>
    </row>
    <row r="76" spans="1:23" ht="14.5" thickBot="1">
      <c r="A76" s="240"/>
      <c r="B76" s="244"/>
      <c r="C76" s="88">
        <v>5</v>
      </c>
      <c r="D76" s="61">
        <v>0.6580648999999994</v>
      </c>
      <c r="E76" s="61">
        <v>0.21935496666666648</v>
      </c>
      <c r="F76" s="61">
        <v>4558.8208700995947</v>
      </c>
      <c r="G76" s="61">
        <v>3.216796875</v>
      </c>
      <c r="H76" s="61">
        <v>6.2156250000000002</v>
      </c>
      <c r="I76" s="61">
        <v>6046.33984375</v>
      </c>
      <c r="J76" s="61">
        <v>6228.89111328125</v>
      </c>
      <c r="K76" s="61">
        <v>6304.8359375</v>
      </c>
      <c r="L76" s="61">
        <v>182.55126953125</v>
      </c>
      <c r="M76" s="61">
        <v>258.49609375</v>
      </c>
      <c r="N76" s="61">
        <v>7183.1875</v>
      </c>
      <c r="O76" s="61">
        <v>7183.1875</v>
      </c>
      <c r="P76" s="61">
        <v>7183.1875</v>
      </c>
      <c r="Q76" s="61">
        <v>0</v>
      </c>
      <c r="R76" s="61">
        <v>0</v>
      </c>
      <c r="S76" s="61">
        <v>51.5</v>
      </c>
      <c r="T76" s="61">
        <v>81</v>
      </c>
      <c r="U76" s="61">
        <v>7.0539999999999994</v>
      </c>
      <c r="V76" s="61">
        <v>10.906000000000001</v>
      </c>
      <c r="W76" s="68">
        <v>1.2158288351527928E-3</v>
      </c>
    </row>
    <row r="77" spans="1:23">
      <c r="A77" s="240"/>
      <c r="B77" s="246" t="s">
        <v>5</v>
      </c>
      <c r="C77" s="87">
        <v>1</v>
      </c>
      <c r="D77" s="62">
        <v>0.70354399999996531</v>
      </c>
      <c r="E77" s="62">
        <v>0.28426020202018798</v>
      </c>
      <c r="F77" s="62">
        <v>3517.9036421320088</v>
      </c>
      <c r="G77" s="62">
        <v>2.4835937499999998</v>
      </c>
      <c r="H77" s="62">
        <v>4.4781250000000004</v>
      </c>
      <c r="I77" s="62">
        <v>5030.140625</v>
      </c>
      <c r="J77" s="62">
        <v>5177.8974609375</v>
      </c>
      <c r="K77" s="62">
        <v>5252.76171875</v>
      </c>
      <c r="L77" s="62">
        <v>147.7568359375</v>
      </c>
      <c r="M77" s="62">
        <v>222.62109375</v>
      </c>
      <c r="N77" s="62">
        <v>7183.1875</v>
      </c>
      <c r="O77" s="62">
        <v>7183.1875</v>
      </c>
      <c r="P77" s="62">
        <v>7183.1875</v>
      </c>
      <c r="Q77" s="62">
        <v>0</v>
      </c>
      <c r="R77" s="62">
        <v>0</v>
      </c>
      <c r="S77" s="62">
        <v>43.25</v>
      </c>
      <c r="T77" s="62">
        <v>94</v>
      </c>
      <c r="U77" s="62">
        <v>5.4146250000000009</v>
      </c>
      <c r="V77" s="62">
        <v>10.246</v>
      </c>
      <c r="W77" s="67">
        <v>9.318179034165829E-4</v>
      </c>
    </row>
    <row r="78" spans="1:23">
      <c r="A78" s="240"/>
      <c r="B78" s="245"/>
      <c r="C78" s="88">
        <v>2</v>
      </c>
      <c r="D78" s="61">
        <v>0.57462889999999334</v>
      </c>
      <c r="E78" s="61">
        <v>0.23217329292929023</v>
      </c>
      <c r="F78" s="61">
        <v>4307.127608792438</v>
      </c>
      <c r="G78" s="61">
        <v>2.6781250000000001</v>
      </c>
      <c r="H78" s="61">
        <v>5.328125</v>
      </c>
      <c r="I78" s="61">
        <v>5039.43359375</v>
      </c>
      <c r="J78" s="61">
        <v>5187.9358258928569</v>
      </c>
      <c r="K78" s="61">
        <v>5259.68359375</v>
      </c>
      <c r="L78" s="61">
        <v>148.50223214285688</v>
      </c>
      <c r="M78" s="61">
        <v>220.25</v>
      </c>
      <c r="N78" s="61">
        <v>7183.1875</v>
      </c>
      <c r="O78" s="61">
        <v>7183.1875</v>
      </c>
      <c r="P78" s="61">
        <v>7183.1875</v>
      </c>
      <c r="Q78" s="61">
        <v>0</v>
      </c>
      <c r="R78" s="61">
        <v>0</v>
      </c>
      <c r="S78" s="61">
        <v>48</v>
      </c>
      <c r="T78" s="61">
        <v>80</v>
      </c>
      <c r="U78" s="61">
        <v>6.0564285714285706</v>
      </c>
      <c r="V78" s="61">
        <v>10.529</v>
      </c>
      <c r="W78" s="68">
        <v>8.9352228336108221E-4</v>
      </c>
    </row>
    <row r="79" spans="1:23">
      <c r="A79" s="240"/>
      <c r="B79" s="245"/>
      <c r="C79" s="87">
        <v>3</v>
      </c>
      <c r="D79" s="62">
        <v>0.69099599999998418</v>
      </c>
      <c r="E79" s="62">
        <v>0.27919030303029663</v>
      </c>
      <c r="F79" s="62">
        <v>3581.7862910929393</v>
      </c>
      <c r="G79" s="62">
        <v>2.4031250000000002</v>
      </c>
      <c r="H79" s="62">
        <v>4.03125</v>
      </c>
      <c r="I79" s="62">
        <v>5040.875</v>
      </c>
      <c r="J79" s="62">
        <v>5189.05908203125</v>
      </c>
      <c r="K79" s="62">
        <v>5261.6484375</v>
      </c>
      <c r="L79" s="62">
        <v>148.18408203125</v>
      </c>
      <c r="M79" s="62">
        <v>220.7734375</v>
      </c>
      <c r="N79" s="62">
        <v>7183.1875</v>
      </c>
      <c r="O79" s="62">
        <v>7183.1875</v>
      </c>
      <c r="P79" s="62">
        <v>7183.1875</v>
      </c>
      <c r="Q79" s="62">
        <v>0</v>
      </c>
      <c r="R79" s="62">
        <v>0</v>
      </c>
      <c r="S79" s="62">
        <v>56.125</v>
      </c>
      <c r="T79" s="62">
        <v>88</v>
      </c>
      <c r="U79" s="62">
        <v>4.2833749999999995</v>
      </c>
      <c r="V79" s="62">
        <v>8.3000000000000007</v>
      </c>
      <c r="W79" s="67">
        <v>6.996222127499534E-4</v>
      </c>
    </row>
    <row r="80" spans="1:23">
      <c r="A80" s="240"/>
      <c r="B80" s="245"/>
      <c r="C80" s="88">
        <v>4</v>
      </c>
      <c r="D80" s="61">
        <v>0.73831190000004199</v>
      </c>
      <c r="E80" s="61">
        <v>0.29830783838385533</v>
      </c>
      <c r="F80" s="61">
        <v>3352.2417829102569</v>
      </c>
      <c r="G80" s="61">
        <v>2.7833333333333337</v>
      </c>
      <c r="H80" s="61">
        <v>4.6875</v>
      </c>
      <c r="I80" s="61">
        <v>5042.9140625</v>
      </c>
      <c r="J80" s="61">
        <v>5203.361979166667</v>
      </c>
      <c r="K80" s="61">
        <v>5262.734375</v>
      </c>
      <c r="L80" s="61">
        <v>160.44791666666697</v>
      </c>
      <c r="M80" s="61">
        <v>219.8203125</v>
      </c>
      <c r="N80" s="61">
        <v>7183.1875</v>
      </c>
      <c r="O80" s="61">
        <v>7183.1875</v>
      </c>
      <c r="P80" s="61">
        <v>7183.1875</v>
      </c>
      <c r="Q80" s="61">
        <v>0</v>
      </c>
      <c r="R80" s="61">
        <v>0</v>
      </c>
      <c r="S80" s="61">
        <v>56.555555555555557</v>
      </c>
      <c r="T80" s="61">
        <v>88</v>
      </c>
      <c r="U80" s="61">
        <v>6.6332222222222219</v>
      </c>
      <c r="V80" s="61">
        <v>9.4550000000000001</v>
      </c>
      <c r="W80" s="68">
        <v>1.2894384614028471E-3</v>
      </c>
    </row>
    <row r="81" spans="1:23" ht="14.5" thickBot="1">
      <c r="A81" s="241"/>
      <c r="B81" s="247"/>
      <c r="C81" s="89">
        <v>5</v>
      </c>
      <c r="D81" s="74">
        <v>0.63845820000000231</v>
      </c>
      <c r="E81" s="74">
        <v>0.25796290909091002</v>
      </c>
      <c r="F81" s="74">
        <v>3876.5262941254277</v>
      </c>
      <c r="G81" s="74">
        <v>2.6511718750000002</v>
      </c>
      <c r="H81" s="74">
        <v>4.03125</v>
      </c>
      <c r="I81" s="74">
        <v>5043.21875</v>
      </c>
      <c r="J81" s="74">
        <v>5196.60302734375</v>
      </c>
      <c r="K81" s="74">
        <v>5262.921875</v>
      </c>
      <c r="L81" s="74">
        <v>153.38427734375</v>
      </c>
      <c r="M81" s="74">
        <v>219.703125</v>
      </c>
      <c r="N81" s="74">
        <v>7183.1875</v>
      </c>
      <c r="O81" s="74">
        <v>7183.1875</v>
      </c>
      <c r="P81" s="74">
        <v>7183.1875</v>
      </c>
      <c r="Q81" s="74">
        <v>0</v>
      </c>
      <c r="R81" s="74">
        <v>0</v>
      </c>
      <c r="S81" s="74">
        <v>49.75</v>
      </c>
      <c r="T81" s="74">
        <v>81</v>
      </c>
      <c r="U81" s="74">
        <v>5.9956250000000004</v>
      </c>
      <c r="V81" s="74">
        <v>9.9260000000000002</v>
      </c>
      <c r="W81" s="75">
        <v>9.3294090054154167E-4</v>
      </c>
    </row>
    <row r="82" spans="1:23">
      <c r="A82" s="239" t="s">
        <v>70</v>
      </c>
      <c r="B82" s="242" t="s">
        <v>2</v>
      </c>
      <c r="C82" s="86">
        <v>1</v>
      </c>
      <c r="D82" s="65">
        <v>11.994296899999881</v>
      </c>
      <c r="E82" s="65">
        <v>0.66634982777777119</v>
      </c>
      <c r="F82" s="65">
        <v>1500.7132264668369</v>
      </c>
      <c r="G82" s="65">
        <v>3.2952256944444449</v>
      </c>
      <c r="H82" s="65">
        <v>4.8812499999999996</v>
      </c>
      <c r="I82" s="65">
        <v>8433.86328125</v>
      </c>
      <c r="J82" s="65">
        <v>9756.5301287615748</v>
      </c>
      <c r="K82" s="65">
        <v>9792.34765625</v>
      </c>
      <c r="L82" s="65">
        <v>1322.6668475115748</v>
      </c>
      <c r="M82" s="65">
        <v>1358.484375</v>
      </c>
      <c r="N82" s="65">
        <v>6958.71484375</v>
      </c>
      <c r="O82" s="65">
        <v>6958.71484375</v>
      </c>
      <c r="P82" s="65">
        <v>6958.71484375</v>
      </c>
      <c r="Q82" s="65">
        <v>0</v>
      </c>
      <c r="R82" s="65">
        <v>0</v>
      </c>
      <c r="S82" s="65">
        <v>74.398148148148152</v>
      </c>
      <c r="T82" s="65">
        <v>87</v>
      </c>
      <c r="U82" s="65">
        <v>52.303314814814811</v>
      </c>
      <c r="V82" s="65">
        <v>74.13</v>
      </c>
      <c r="W82" s="66">
        <v>0.17299388227858287</v>
      </c>
    </row>
    <row r="83" spans="1:23">
      <c r="A83" s="240"/>
      <c r="B83" s="243"/>
      <c r="C83" s="87">
        <v>2</v>
      </c>
      <c r="D83" s="62">
        <v>11.446279100000083</v>
      </c>
      <c r="E83" s="62">
        <v>0.63590439444444902</v>
      </c>
      <c r="F83" s="62">
        <v>1572.5634367940468</v>
      </c>
      <c r="G83" s="62">
        <v>3.3067007211538462</v>
      </c>
      <c r="H83" s="62">
        <v>4.4781250000000004</v>
      </c>
      <c r="I83" s="62">
        <v>8466.8203125</v>
      </c>
      <c r="J83" s="62">
        <v>9789.3049504206738</v>
      </c>
      <c r="K83" s="62">
        <v>9824.7890625</v>
      </c>
      <c r="L83" s="62">
        <v>1322.4846379206738</v>
      </c>
      <c r="M83" s="62">
        <v>1357.96875</v>
      </c>
      <c r="N83" s="62">
        <v>6958.71484375</v>
      </c>
      <c r="O83" s="62">
        <v>6958.71484375</v>
      </c>
      <c r="P83" s="62">
        <v>6958.71484375</v>
      </c>
      <c r="Q83" s="62">
        <v>0</v>
      </c>
      <c r="R83" s="62">
        <v>0</v>
      </c>
      <c r="S83" s="62">
        <v>77.211538461538467</v>
      </c>
      <c r="T83" s="62">
        <v>96</v>
      </c>
      <c r="U83" s="62">
        <v>53.13386538461539</v>
      </c>
      <c r="V83" s="62">
        <v>77.010000000000005</v>
      </c>
      <c r="W83" s="67">
        <v>0.16790521718255519</v>
      </c>
    </row>
    <row r="84" spans="1:23">
      <c r="A84" s="240"/>
      <c r="B84" s="243"/>
      <c r="C84" s="88">
        <v>3</v>
      </c>
      <c r="D84" s="61">
        <v>11.148108099999945</v>
      </c>
      <c r="E84" s="61">
        <v>0.61933933888888582</v>
      </c>
      <c r="F84" s="61">
        <v>1614.6237405071529</v>
      </c>
      <c r="G84" s="61">
        <v>3.2526654411764695</v>
      </c>
      <c r="H84" s="61">
        <v>5.7125000000000004</v>
      </c>
      <c r="I84" s="61">
        <v>8468.375</v>
      </c>
      <c r="J84" s="61">
        <v>9788.587890625</v>
      </c>
      <c r="K84" s="61">
        <v>9826.42578125</v>
      </c>
      <c r="L84" s="61">
        <v>1320.212890625</v>
      </c>
      <c r="M84" s="61">
        <v>1358.05078125</v>
      </c>
      <c r="N84" s="61">
        <v>6958.71484375</v>
      </c>
      <c r="O84" s="61">
        <v>6958.71484375</v>
      </c>
      <c r="P84" s="61">
        <v>6958.71484375</v>
      </c>
      <c r="Q84" s="61">
        <v>0</v>
      </c>
      <c r="R84" s="61">
        <v>0</v>
      </c>
      <c r="S84" s="61">
        <v>76.372549019607845</v>
      </c>
      <c r="T84" s="61">
        <v>80</v>
      </c>
      <c r="U84" s="61">
        <v>55.379490196078429</v>
      </c>
      <c r="V84" s="61">
        <v>69.03</v>
      </c>
      <c r="W84" s="68">
        <v>0.17214894906141548</v>
      </c>
    </row>
    <row r="85" spans="1:23">
      <c r="A85" s="240"/>
      <c r="B85" s="243"/>
      <c r="C85" s="87">
        <v>4</v>
      </c>
      <c r="D85" s="62">
        <v>11.072720499999832</v>
      </c>
      <c r="E85" s="62">
        <v>0.61515113888887951</v>
      </c>
      <c r="F85" s="62">
        <v>1625.6167578690597</v>
      </c>
      <c r="G85" s="62">
        <v>3.2899752475247528</v>
      </c>
      <c r="H85" s="62">
        <v>4.7249999999999996</v>
      </c>
      <c r="I85" s="62">
        <v>8469.40625</v>
      </c>
      <c r="J85" s="62">
        <v>9790.309754022277</v>
      </c>
      <c r="K85" s="62">
        <v>9827.62109375</v>
      </c>
      <c r="L85" s="62">
        <v>1320.903504022277</v>
      </c>
      <c r="M85" s="62">
        <v>1358.21484375</v>
      </c>
      <c r="N85" s="62">
        <v>6958.71484375</v>
      </c>
      <c r="O85" s="62">
        <v>6958.71484375</v>
      </c>
      <c r="P85" s="62">
        <v>6958.71484375</v>
      </c>
      <c r="Q85" s="62">
        <v>0</v>
      </c>
      <c r="R85" s="62">
        <v>0</v>
      </c>
      <c r="S85" s="62">
        <v>76.78217821782178</v>
      </c>
      <c r="T85" s="62">
        <v>100</v>
      </c>
      <c r="U85" s="62">
        <v>56.073514851485143</v>
      </c>
      <c r="V85" s="62">
        <v>65.323999999999998</v>
      </c>
      <c r="W85" s="67">
        <v>0.17253778050690066</v>
      </c>
    </row>
    <row r="86" spans="1:23" ht="14.5" thickBot="1">
      <c r="A86" s="240"/>
      <c r="B86" s="244"/>
      <c r="C86" s="88">
        <v>5</v>
      </c>
      <c r="D86" s="61">
        <v>11.165602400000125</v>
      </c>
      <c r="E86" s="61">
        <v>0.6203112444444514</v>
      </c>
      <c r="F86" s="61">
        <v>1612.0939430907729</v>
      </c>
      <c r="G86" s="61">
        <v>3.4500928217821785</v>
      </c>
      <c r="H86" s="61">
        <v>5.8250000000000002</v>
      </c>
      <c r="I86" s="61">
        <v>8470.48046875</v>
      </c>
      <c r="J86" s="61">
        <v>9791.8751933787134</v>
      </c>
      <c r="K86" s="61">
        <v>9828.328125</v>
      </c>
      <c r="L86" s="61">
        <v>1321.3947246287134</v>
      </c>
      <c r="M86" s="61">
        <v>1357.84765625</v>
      </c>
      <c r="N86" s="61">
        <v>6958.71484375</v>
      </c>
      <c r="O86" s="61">
        <v>6958.71484375</v>
      </c>
      <c r="P86" s="61">
        <v>6958.71484375</v>
      </c>
      <c r="Q86" s="61">
        <v>0</v>
      </c>
      <c r="R86" s="61">
        <v>0</v>
      </c>
      <c r="S86" s="61">
        <v>77.148514851485146</v>
      </c>
      <c r="T86" s="61">
        <v>84</v>
      </c>
      <c r="U86" s="61">
        <v>54.866099009900985</v>
      </c>
      <c r="V86" s="61">
        <v>64.831999999999994</v>
      </c>
      <c r="W86" s="68">
        <v>0.16983158657740294</v>
      </c>
    </row>
    <row r="87" spans="1:23">
      <c r="A87" s="240"/>
      <c r="B87" s="245" t="s">
        <v>3</v>
      </c>
      <c r="C87" s="87">
        <v>1</v>
      </c>
      <c r="D87" s="62">
        <v>4.66205889999992</v>
      </c>
      <c r="E87" s="62">
        <v>0.78209342392214731</v>
      </c>
      <c r="F87" s="62">
        <v>1278.6196244753799</v>
      </c>
      <c r="G87" s="62">
        <v>3.126308139534884</v>
      </c>
      <c r="H87" s="62">
        <v>4.9281249999999996</v>
      </c>
      <c r="I87" s="62">
        <v>6963.58203125</v>
      </c>
      <c r="J87" s="62">
        <v>7436.6928597383721</v>
      </c>
      <c r="K87" s="62">
        <v>7473.1171875</v>
      </c>
      <c r="L87" s="62">
        <v>473.11082848837214</v>
      </c>
      <c r="M87" s="62">
        <v>509.53515625</v>
      </c>
      <c r="N87" s="62">
        <v>6982.83984375</v>
      </c>
      <c r="O87" s="62">
        <v>6982.83984375</v>
      </c>
      <c r="P87" s="62">
        <v>6982.83984375</v>
      </c>
      <c r="Q87" s="62">
        <v>0</v>
      </c>
      <c r="R87" s="62">
        <v>0</v>
      </c>
      <c r="S87" s="62">
        <v>65.930232558139537</v>
      </c>
      <c r="T87" s="62">
        <v>92</v>
      </c>
      <c r="U87" s="62">
        <v>46.747813953488368</v>
      </c>
      <c r="V87" s="62">
        <v>71.802999999999997</v>
      </c>
      <c r="W87" s="67">
        <v>5.9727284218707946E-2</v>
      </c>
    </row>
    <row r="88" spans="1:23">
      <c r="A88" s="240"/>
      <c r="B88" s="245"/>
      <c r="C88" s="88">
        <v>2</v>
      </c>
      <c r="D88" s="61">
        <v>3.9777792999999519</v>
      </c>
      <c r="E88" s="61">
        <v>0.6673006710283429</v>
      </c>
      <c r="F88" s="61">
        <v>1498.5748455174655</v>
      </c>
      <c r="G88" s="61">
        <v>3.1876644736842099</v>
      </c>
      <c r="H88" s="61">
        <v>6.2718749999999996</v>
      </c>
      <c r="I88" s="61">
        <v>7002.8984375</v>
      </c>
      <c r="J88" s="61">
        <v>7448.949424342105</v>
      </c>
      <c r="K88" s="61">
        <v>7478.47265625</v>
      </c>
      <c r="L88" s="61">
        <v>446.05098684210498</v>
      </c>
      <c r="M88" s="61">
        <v>475.57421875</v>
      </c>
      <c r="N88" s="61">
        <v>6982.83984375</v>
      </c>
      <c r="O88" s="61">
        <v>6982.83984375</v>
      </c>
      <c r="P88" s="61">
        <v>6982.83984375</v>
      </c>
      <c r="Q88" s="61">
        <v>0</v>
      </c>
      <c r="R88" s="61">
        <v>0</v>
      </c>
      <c r="S88" s="61">
        <v>71.815789473684205</v>
      </c>
      <c r="T88" s="61">
        <v>80</v>
      </c>
      <c r="U88" s="61">
        <v>46.387236842105267</v>
      </c>
      <c r="V88" s="61">
        <v>61.546999999999997</v>
      </c>
      <c r="W88" s="68">
        <v>5.1931932781541505E-2</v>
      </c>
    </row>
    <row r="89" spans="1:23">
      <c r="A89" s="240"/>
      <c r="B89" s="245"/>
      <c r="C89" s="87">
        <v>3</v>
      </c>
      <c r="D89" s="62">
        <v>3.7595714000000271</v>
      </c>
      <c r="E89" s="62">
        <v>0.63069474920315838</v>
      </c>
      <c r="F89" s="62">
        <v>1585.5530766086679</v>
      </c>
      <c r="G89" s="62">
        <v>3.0025173611111113</v>
      </c>
      <c r="H89" s="62">
        <v>5.1937499999999996</v>
      </c>
      <c r="I89" s="62">
        <v>7004.40234375</v>
      </c>
      <c r="J89" s="62">
        <v>7448.9375</v>
      </c>
      <c r="K89" s="62">
        <v>7479.44140625</v>
      </c>
      <c r="L89" s="62">
        <v>444.53515625</v>
      </c>
      <c r="M89" s="62">
        <v>475.0390625</v>
      </c>
      <c r="N89" s="62">
        <v>6982.83984375</v>
      </c>
      <c r="O89" s="62">
        <v>6982.83984375</v>
      </c>
      <c r="P89" s="62">
        <v>6982.83984375</v>
      </c>
      <c r="Q89" s="62">
        <v>0</v>
      </c>
      <c r="R89" s="62">
        <v>0</v>
      </c>
      <c r="S89" s="62">
        <v>73.833333333333329</v>
      </c>
      <c r="T89" s="62">
        <v>85</v>
      </c>
      <c r="U89" s="62">
        <v>47.046027777777773</v>
      </c>
      <c r="V89" s="62">
        <v>69.320999999999998</v>
      </c>
      <c r="W89" s="67">
        <v>4.9811439151014401E-2</v>
      </c>
    </row>
    <row r="90" spans="1:23">
      <c r="A90" s="240"/>
      <c r="B90" s="245"/>
      <c r="C90" s="88">
        <v>4</v>
      </c>
      <c r="D90" s="61">
        <v>3.9299383000000034</v>
      </c>
      <c r="E90" s="61">
        <v>0.65927500419392771</v>
      </c>
      <c r="F90" s="61">
        <v>1516.8177067818074</v>
      </c>
      <c r="G90" s="61">
        <v>3.1521959459459463</v>
      </c>
      <c r="H90" s="61">
        <v>4.4781250000000004</v>
      </c>
      <c r="I90" s="61">
        <v>7005.08984375</v>
      </c>
      <c r="J90" s="61">
        <v>7450.6411528716217</v>
      </c>
      <c r="K90" s="61">
        <v>7480.3046875</v>
      </c>
      <c r="L90" s="61">
        <v>445.55130912162167</v>
      </c>
      <c r="M90" s="61">
        <v>475.21484375</v>
      </c>
      <c r="N90" s="61">
        <v>6982.83984375</v>
      </c>
      <c r="O90" s="61">
        <v>6982.83984375</v>
      </c>
      <c r="P90" s="61">
        <v>6982.83984375</v>
      </c>
      <c r="Q90" s="61">
        <v>0</v>
      </c>
      <c r="R90" s="61">
        <v>0</v>
      </c>
      <c r="S90" s="61">
        <v>74.540540540540547</v>
      </c>
      <c r="T90" s="61">
        <v>87</v>
      </c>
      <c r="U90" s="61">
        <v>44.800783783783785</v>
      </c>
      <c r="V90" s="61">
        <v>61.584000000000003</v>
      </c>
      <c r="W90" s="68">
        <v>5.029108051737545E-2</v>
      </c>
    </row>
    <row r="91" spans="1:23" ht="14.5" thickBot="1">
      <c r="A91" s="240"/>
      <c r="B91" s="245"/>
      <c r="C91" s="87">
        <v>5</v>
      </c>
      <c r="D91" s="62">
        <v>3.745345000000043</v>
      </c>
      <c r="E91" s="62">
        <v>0.62830816977018</v>
      </c>
      <c r="F91" s="62">
        <v>1591.5756759390474</v>
      </c>
      <c r="G91" s="62">
        <v>2.9758680555555559</v>
      </c>
      <c r="H91" s="62">
        <v>4.4781250000000004</v>
      </c>
      <c r="I91" s="62">
        <v>7005.12109375</v>
      </c>
      <c r="J91" s="62">
        <v>7449.9045138888887</v>
      </c>
      <c r="K91" s="62">
        <v>7480.23828125</v>
      </c>
      <c r="L91" s="62">
        <v>444.78342013888869</v>
      </c>
      <c r="M91" s="62">
        <v>475.1171875</v>
      </c>
      <c r="N91" s="62">
        <v>6982.83984375</v>
      </c>
      <c r="O91" s="62">
        <v>6982.83984375</v>
      </c>
      <c r="P91" s="62">
        <v>6982.83984375</v>
      </c>
      <c r="Q91" s="62">
        <v>0</v>
      </c>
      <c r="R91" s="62">
        <v>0</v>
      </c>
      <c r="S91" s="62">
        <v>73.916666666666671</v>
      </c>
      <c r="T91" s="62">
        <v>84</v>
      </c>
      <c r="U91" s="62">
        <v>47.447861111111109</v>
      </c>
      <c r="V91" s="62">
        <v>73.611999999999995</v>
      </c>
      <c r="W91" s="67">
        <v>5.0282222805167004E-2</v>
      </c>
    </row>
    <row r="92" spans="1:23">
      <c r="A92" s="240"/>
      <c r="B92" s="242" t="s">
        <v>4</v>
      </c>
      <c r="C92" s="88">
        <v>1</v>
      </c>
      <c r="D92" s="61">
        <v>2.677430500000014</v>
      </c>
      <c r="E92" s="61">
        <v>0.89247683333333805</v>
      </c>
      <c r="F92" s="61">
        <v>1120.4772635554814</v>
      </c>
      <c r="G92" s="61">
        <v>2.9936249999999998</v>
      </c>
      <c r="H92" s="61">
        <v>4.03125</v>
      </c>
      <c r="I92" s="61">
        <v>6240.19140625</v>
      </c>
      <c r="J92" s="61">
        <v>6489.2793750000001</v>
      </c>
      <c r="K92" s="61">
        <v>6530.99609375</v>
      </c>
      <c r="L92" s="61">
        <v>249.08796875000007</v>
      </c>
      <c r="M92" s="61">
        <v>290.8046875</v>
      </c>
      <c r="N92" s="61">
        <v>6983.02734375</v>
      </c>
      <c r="O92" s="61">
        <v>6983.02734375</v>
      </c>
      <c r="P92" s="61">
        <v>6983.02734375</v>
      </c>
      <c r="Q92" s="61">
        <v>0</v>
      </c>
      <c r="R92" s="61">
        <v>0</v>
      </c>
      <c r="S92" s="61">
        <v>56</v>
      </c>
      <c r="T92" s="61">
        <v>90</v>
      </c>
      <c r="U92" s="61">
        <v>36.234320000000004</v>
      </c>
      <c r="V92" s="61">
        <v>68.759</v>
      </c>
      <c r="W92" s="68">
        <v>2.7427235573694461E-2</v>
      </c>
    </row>
    <row r="93" spans="1:23">
      <c r="A93" s="240"/>
      <c r="B93" s="243"/>
      <c r="C93" s="87">
        <v>2</v>
      </c>
      <c r="D93" s="62">
        <v>2.1454158000000234</v>
      </c>
      <c r="E93" s="62">
        <v>0.71513860000000784</v>
      </c>
      <c r="F93" s="62">
        <v>1398.3303376436247</v>
      </c>
      <c r="G93" s="62">
        <v>2.991051136363637</v>
      </c>
      <c r="H93" s="62">
        <v>4.4781250000000004</v>
      </c>
      <c r="I93" s="62">
        <v>6273.74609375</v>
      </c>
      <c r="J93" s="62">
        <v>6502.758877840909</v>
      </c>
      <c r="K93" s="62">
        <v>6531.92578125</v>
      </c>
      <c r="L93" s="62">
        <v>229.01278409090901</v>
      </c>
      <c r="M93" s="62">
        <v>258.1796875</v>
      </c>
      <c r="N93" s="62">
        <v>6983.02734375</v>
      </c>
      <c r="O93" s="62">
        <v>6983.02734375</v>
      </c>
      <c r="P93" s="62">
        <v>6983.02734375</v>
      </c>
      <c r="Q93" s="62">
        <v>0</v>
      </c>
      <c r="R93" s="62">
        <v>0</v>
      </c>
      <c r="S93" s="62">
        <v>72.13636363636364</v>
      </c>
      <c r="T93" s="62">
        <v>98</v>
      </c>
      <c r="U93" s="62">
        <v>40.74722727272728</v>
      </c>
      <c r="V93" s="62">
        <v>66.995000000000005</v>
      </c>
      <c r="W93" s="67">
        <v>2.5881286226402147E-2</v>
      </c>
    </row>
    <row r="94" spans="1:23">
      <c r="A94" s="240"/>
      <c r="B94" s="243"/>
      <c r="C94" s="88">
        <v>3</v>
      </c>
      <c r="D94" s="61">
        <v>2.0933203000000731</v>
      </c>
      <c r="E94" s="61">
        <v>0.69777343333335762</v>
      </c>
      <c r="F94" s="61">
        <v>1433.1299419395566</v>
      </c>
      <c r="G94" s="61">
        <v>3.1178571428571424</v>
      </c>
      <c r="H94" s="61">
        <v>6.234375</v>
      </c>
      <c r="I94" s="61">
        <v>6273.8671875</v>
      </c>
      <c r="J94" s="61">
        <v>6501.942708333333</v>
      </c>
      <c r="K94" s="61">
        <v>6532.05859375</v>
      </c>
      <c r="L94" s="61">
        <v>228.07552083333303</v>
      </c>
      <c r="M94" s="61">
        <v>258.19140625</v>
      </c>
      <c r="N94" s="61">
        <v>6983.02734375</v>
      </c>
      <c r="O94" s="61">
        <v>6983.02734375</v>
      </c>
      <c r="P94" s="61">
        <v>6983.02734375</v>
      </c>
      <c r="Q94" s="61">
        <v>0</v>
      </c>
      <c r="R94" s="61">
        <v>0</v>
      </c>
      <c r="S94" s="61">
        <v>69.38095238095238</v>
      </c>
      <c r="T94" s="61">
        <v>87</v>
      </c>
      <c r="U94" s="61">
        <v>37.389142857142858</v>
      </c>
      <c r="V94" s="61">
        <v>69.147999999999996</v>
      </c>
      <c r="W94" s="68">
        <v>2.2061155291695052E-2</v>
      </c>
    </row>
    <row r="95" spans="1:23">
      <c r="A95" s="240"/>
      <c r="B95" s="243"/>
      <c r="C95" s="87">
        <v>4</v>
      </c>
      <c r="D95" s="62">
        <v>1.987782100000004</v>
      </c>
      <c r="E95" s="62">
        <v>0.66259403333333466</v>
      </c>
      <c r="F95" s="62">
        <v>1509.2197479794158</v>
      </c>
      <c r="G95" s="62">
        <v>3.0743750000000003</v>
      </c>
      <c r="H95" s="62">
        <v>4.4375</v>
      </c>
      <c r="I95" s="62">
        <v>6273.96875</v>
      </c>
      <c r="J95" s="62">
        <v>6499.07421875</v>
      </c>
      <c r="K95" s="62">
        <v>6532.1640625</v>
      </c>
      <c r="L95" s="62">
        <v>225.10546875</v>
      </c>
      <c r="M95" s="62">
        <v>258.1953125</v>
      </c>
      <c r="N95" s="62">
        <v>6983.02734375</v>
      </c>
      <c r="O95" s="62">
        <v>6983.02734375</v>
      </c>
      <c r="P95" s="62">
        <v>6983.02734375</v>
      </c>
      <c r="Q95" s="62">
        <v>0</v>
      </c>
      <c r="R95" s="62">
        <v>0</v>
      </c>
      <c r="S95" s="62">
        <v>70.05</v>
      </c>
      <c r="T95" s="62">
        <v>79</v>
      </c>
      <c r="U95" s="62">
        <v>34.3491</v>
      </c>
      <c r="V95" s="62">
        <v>59.435000000000002</v>
      </c>
      <c r="W95" s="67">
        <v>1.9848784536597233E-2</v>
      </c>
    </row>
    <row r="96" spans="1:23" ht="14.5" thickBot="1">
      <c r="A96" s="240"/>
      <c r="B96" s="244"/>
      <c r="C96" s="88">
        <v>5</v>
      </c>
      <c r="D96" s="61">
        <v>2.0387286000000131</v>
      </c>
      <c r="E96" s="61">
        <v>0.6795762000000044</v>
      </c>
      <c r="F96" s="61">
        <v>1471.5053293508417</v>
      </c>
      <c r="G96" s="61">
        <v>3.0043154761904765</v>
      </c>
      <c r="H96" s="61">
        <v>7.1687500000000002</v>
      </c>
      <c r="I96" s="61">
        <v>6274.02734375</v>
      </c>
      <c r="J96" s="61">
        <v>6500.8673735119046</v>
      </c>
      <c r="K96" s="61">
        <v>6532.16796875</v>
      </c>
      <c r="L96" s="61">
        <v>226.84002976190459</v>
      </c>
      <c r="M96" s="61">
        <v>258.140625</v>
      </c>
      <c r="N96" s="61">
        <v>6983.02734375</v>
      </c>
      <c r="O96" s="61">
        <v>6983.02734375</v>
      </c>
      <c r="P96" s="61">
        <v>6983.02734375</v>
      </c>
      <c r="Q96" s="61">
        <v>0</v>
      </c>
      <c r="R96" s="61">
        <v>0</v>
      </c>
      <c r="S96" s="61">
        <v>68.904761904761898</v>
      </c>
      <c r="T96" s="61">
        <v>84</v>
      </c>
      <c r="U96" s="61">
        <v>36.025904761904769</v>
      </c>
      <c r="V96" s="61">
        <v>62.898000000000003</v>
      </c>
      <c r="W96" s="68">
        <v>2.0393750501458668E-2</v>
      </c>
    </row>
    <row r="97" spans="1:23">
      <c r="A97" s="240"/>
      <c r="B97" s="246" t="s">
        <v>5</v>
      </c>
      <c r="C97" s="87">
        <v>1</v>
      </c>
      <c r="D97" s="62">
        <v>2.8300978999999984</v>
      </c>
      <c r="E97" s="62">
        <v>1.1434738989898983</v>
      </c>
      <c r="F97" s="62">
        <v>874.52805077873859</v>
      </c>
      <c r="G97" s="62">
        <v>3.03125</v>
      </c>
      <c r="H97" s="62">
        <v>4.03125</v>
      </c>
      <c r="I97" s="62">
        <v>5212.125</v>
      </c>
      <c r="J97" s="62">
        <v>5421.15625</v>
      </c>
      <c r="K97" s="62">
        <v>5461.6015625</v>
      </c>
      <c r="L97" s="62">
        <v>209.03125</v>
      </c>
      <c r="M97" s="62">
        <v>249.4765625</v>
      </c>
      <c r="N97" s="62">
        <v>6983.02734375</v>
      </c>
      <c r="O97" s="62">
        <v>6983.02734375</v>
      </c>
      <c r="P97" s="62">
        <v>6983.02734375</v>
      </c>
      <c r="Q97" s="62">
        <v>0</v>
      </c>
      <c r="R97" s="62">
        <v>0</v>
      </c>
      <c r="S97" s="62">
        <v>55.851851851851855</v>
      </c>
      <c r="T97" s="62">
        <v>97</v>
      </c>
      <c r="U97" s="62">
        <v>23.926592592592588</v>
      </c>
      <c r="V97" s="62">
        <v>63.802999999999997</v>
      </c>
      <c r="W97" s="67">
        <v>1.8148743486930734E-2</v>
      </c>
    </row>
    <row r="98" spans="1:23">
      <c r="A98" s="240"/>
      <c r="B98" s="245"/>
      <c r="C98" s="88">
        <v>2</v>
      </c>
      <c r="D98" s="61">
        <v>1.6913610999999946</v>
      </c>
      <c r="E98" s="61">
        <v>0.68337822222222</v>
      </c>
      <c r="F98" s="61">
        <v>1463.318507207011</v>
      </c>
      <c r="G98" s="61">
        <v>2.7409926470588237</v>
      </c>
      <c r="H98" s="61">
        <v>3.5843750000000001</v>
      </c>
      <c r="I98" s="61">
        <v>5243.34375</v>
      </c>
      <c r="J98" s="61">
        <v>5431.325827205882</v>
      </c>
      <c r="K98" s="61">
        <v>5463.14453125</v>
      </c>
      <c r="L98" s="61">
        <v>187.98207720588198</v>
      </c>
      <c r="M98" s="61">
        <v>219.80078125</v>
      </c>
      <c r="N98" s="61">
        <v>6983.02734375</v>
      </c>
      <c r="O98" s="61">
        <v>6983.02734375</v>
      </c>
      <c r="P98" s="61">
        <v>6983.02734375</v>
      </c>
      <c r="Q98" s="61">
        <v>0</v>
      </c>
      <c r="R98" s="61">
        <v>0</v>
      </c>
      <c r="S98" s="61">
        <v>68.235294117647058</v>
      </c>
      <c r="T98" s="61">
        <v>89</v>
      </c>
      <c r="U98" s="61">
        <v>29.346117647058826</v>
      </c>
      <c r="V98" s="61">
        <v>68.031999999999996</v>
      </c>
      <c r="W98" s="68">
        <v>1.3808881666430619E-2</v>
      </c>
    </row>
    <row r="99" spans="1:23">
      <c r="A99" s="240"/>
      <c r="B99" s="245"/>
      <c r="C99" s="87">
        <v>3</v>
      </c>
      <c r="D99" s="62">
        <v>1.7062322000000165</v>
      </c>
      <c r="E99" s="62">
        <v>0.68938674747475415</v>
      </c>
      <c r="F99" s="62">
        <v>1450.5645831792274</v>
      </c>
      <c r="G99" s="62">
        <v>2.9086805555555557</v>
      </c>
      <c r="H99" s="62">
        <v>4.03125</v>
      </c>
      <c r="I99" s="62">
        <v>5243.4765625</v>
      </c>
      <c r="J99" s="62">
        <v>5432.6753472222226</v>
      </c>
      <c r="K99" s="62">
        <v>5463.203125</v>
      </c>
      <c r="L99" s="62">
        <v>189.19878472222263</v>
      </c>
      <c r="M99" s="62">
        <v>219.7265625</v>
      </c>
      <c r="N99" s="62">
        <v>6983.02734375</v>
      </c>
      <c r="O99" s="62">
        <v>6983.02734375</v>
      </c>
      <c r="P99" s="62">
        <v>6983.02734375</v>
      </c>
      <c r="Q99" s="62">
        <v>0</v>
      </c>
      <c r="R99" s="62">
        <v>0</v>
      </c>
      <c r="S99" s="62">
        <v>65.777777777777771</v>
      </c>
      <c r="T99" s="62">
        <v>98</v>
      </c>
      <c r="U99" s="62">
        <v>30.22872222222222</v>
      </c>
      <c r="V99" s="62">
        <v>63.578000000000003</v>
      </c>
      <c r="W99" s="67">
        <v>1.4300968579305372E-2</v>
      </c>
    </row>
    <row r="100" spans="1:23">
      <c r="A100" s="240"/>
      <c r="B100" s="245"/>
      <c r="C100" s="88">
        <v>4</v>
      </c>
      <c r="D100" s="61">
        <v>1.6761301999999887</v>
      </c>
      <c r="E100" s="61">
        <v>0.67722432323231863</v>
      </c>
      <c r="F100" s="61">
        <v>1476.61559943256</v>
      </c>
      <c r="G100" s="61">
        <v>2.679227941176471</v>
      </c>
      <c r="H100" s="61">
        <v>3.5843750000000001</v>
      </c>
      <c r="I100" s="61">
        <v>5243.5234375</v>
      </c>
      <c r="J100" s="61">
        <v>5431.3915441176468</v>
      </c>
      <c r="K100" s="61">
        <v>5464.1796875</v>
      </c>
      <c r="L100" s="61">
        <v>187.86810661764684</v>
      </c>
      <c r="M100" s="61">
        <v>220.65625</v>
      </c>
      <c r="N100" s="61">
        <v>6983.02734375</v>
      </c>
      <c r="O100" s="61">
        <v>6983.02734375</v>
      </c>
      <c r="P100" s="61">
        <v>6983.02734375</v>
      </c>
      <c r="Q100" s="61">
        <v>0</v>
      </c>
      <c r="R100" s="61">
        <v>0</v>
      </c>
      <c r="S100" s="61">
        <v>67.470588235294116</v>
      </c>
      <c r="T100" s="61">
        <v>83</v>
      </c>
      <c r="U100" s="61">
        <v>29.083294117647057</v>
      </c>
      <c r="V100" s="61">
        <v>63.329000000000001</v>
      </c>
      <c r="W100" s="68">
        <v>1.3502193456083458E-2</v>
      </c>
    </row>
    <row r="101" spans="1:23" ht="14.5" thickBot="1">
      <c r="A101" s="241"/>
      <c r="B101" s="247"/>
      <c r="C101" s="89">
        <v>5</v>
      </c>
      <c r="D101" s="74">
        <v>1.6441767000000027</v>
      </c>
      <c r="E101" s="74">
        <v>0.66431381818181934</v>
      </c>
      <c r="F101" s="74">
        <v>1505.312658913118</v>
      </c>
      <c r="G101" s="74">
        <v>3.0737132352941181</v>
      </c>
      <c r="H101" s="74">
        <v>5.5125000000000002</v>
      </c>
      <c r="I101" s="74">
        <v>5243.55859375</v>
      </c>
      <c r="J101" s="74">
        <v>5432.0461856617649</v>
      </c>
      <c r="K101" s="74">
        <v>5463.2578125</v>
      </c>
      <c r="L101" s="74">
        <v>188.48759191176487</v>
      </c>
      <c r="M101" s="74">
        <v>219.69921875</v>
      </c>
      <c r="N101" s="74">
        <v>6983.02734375</v>
      </c>
      <c r="O101" s="74">
        <v>6983.02734375</v>
      </c>
      <c r="P101" s="74">
        <v>6983.02734375</v>
      </c>
      <c r="Q101" s="74">
        <v>0</v>
      </c>
      <c r="R101" s="74">
        <v>0</v>
      </c>
      <c r="S101" s="74">
        <v>64.82352941176471</v>
      </c>
      <c r="T101" s="74">
        <v>82</v>
      </c>
      <c r="U101" s="74">
        <v>30.639235294117643</v>
      </c>
      <c r="V101" s="74">
        <v>62.061999999999998</v>
      </c>
      <c r="W101" s="75">
        <v>1.399521472451393E-2</v>
      </c>
    </row>
    <row r="102" spans="1:23">
      <c r="A102" s="239" t="s">
        <v>73</v>
      </c>
      <c r="B102" s="242" t="s">
        <v>2</v>
      </c>
      <c r="C102" s="86">
        <v>1</v>
      </c>
      <c r="D102" s="65">
        <v>135.10719879999999</v>
      </c>
      <c r="E102" s="65">
        <v>7.5059554888888886</v>
      </c>
      <c r="F102" s="65">
        <v>133.2275419805388</v>
      </c>
      <c r="G102" s="65">
        <v>2.9280779867256639</v>
      </c>
      <c r="H102" s="65">
        <v>9.8562499999999993</v>
      </c>
      <c r="I102" s="65">
        <v>8785.40625</v>
      </c>
      <c r="J102" s="65">
        <v>8795.0948527378314</v>
      </c>
      <c r="K102" s="65">
        <v>8800.63671875</v>
      </c>
      <c r="L102" s="65">
        <v>9.6886027378313884</v>
      </c>
      <c r="M102" s="65">
        <v>15.23046875</v>
      </c>
      <c r="N102" s="65">
        <v>2536.734375</v>
      </c>
      <c r="O102" s="65">
        <v>2636.4334900442477</v>
      </c>
      <c r="P102" s="65">
        <v>2636.734375</v>
      </c>
      <c r="Q102" s="65">
        <v>99.699115044247719</v>
      </c>
      <c r="R102" s="65">
        <v>100</v>
      </c>
      <c r="S102" s="65">
        <v>50.769026548672564</v>
      </c>
      <c r="T102" s="65">
        <v>100</v>
      </c>
      <c r="U102" s="65">
        <v>50.490930088495574</v>
      </c>
      <c r="V102" s="65">
        <v>132.05699999999999</v>
      </c>
      <c r="W102" s="66">
        <v>1.9018513530827466</v>
      </c>
    </row>
    <row r="103" spans="1:23">
      <c r="A103" s="240"/>
      <c r="B103" s="243" t="s">
        <v>2</v>
      </c>
      <c r="C103" s="87">
        <v>2</v>
      </c>
      <c r="D103" s="62">
        <v>138.30676130000006</v>
      </c>
      <c r="E103" s="62">
        <v>7.6837089611111145</v>
      </c>
      <c r="F103" s="62">
        <v>130.14548118118643</v>
      </c>
      <c r="G103" s="62">
        <v>2.9516233766233766</v>
      </c>
      <c r="H103" s="62">
        <v>7.421875</v>
      </c>
      <c r="I103" s="62">
        <v>8796.54296875</v>
      </c>
      <c r="J103" s="62">
        <v>8796.6755546536788</v>
      </c>
      <c r="K103" s="62">
        <v>8801.31640625</v>
      </c>
      <c r="L103" s="62">
        <v>0.13258590367877332</v>
      </c>
      <c r="M103" s="62">
        <v>4.7734375</v>
      </c>
      <c r="N103" s="62">
        <v>2536.734375</v>
      </c>
      <c r="O103" s="62">
        <v>2636.4746347402597</v>
      </c>
      <c r="P103" s="62">
        <v>2636.734375</v>
      </c>
      <c r="Q103" s="62">
        <v>99.740259740259717</v>
      </c>
      <c r="R103" s="62">
        <v>100</v>
      </c>
      <c r="S103" s="62">
        <v>48.838095238095235</v>
      </c>
      <c r="T103" s="62">
        <v>100</v>
      </c>
      <c r="U103" s="62">
        <v>51.555776623376623</v>
      </c>
      <c r="V103" s="62">
        <v>132.28200000000001</v>
      </c>
      <c r="W103" s="67">
        <v>1.9879106403140441</v>
      </c>
    </row>
    <row r="104" spans="1:23">
      <c r="A104" s="240"/>
      <c r="B104" s="243" t="s">
        <v>2</v>
      </c>
      <c r="C104" s="88">
        <v>3</v>
      </c>
      <c r="D104" s="61">
        <v>128.07809739999993</v>
      </c>
      <c r="E104" s="61">
        <v>7.1154498555555517</v>
      </c>
      <c r="F104" s="61">
        <v>140.53925195175495</v>
      </c>
      <c r="G104" s="61">
        <v>2.895689252336449</v>
      </c>
      <c r="H104" s="61">
        <v>6.6593749999999998</v>
      </c>
      <c r="I104" s="61">
        <v>8796.53515625</v>
      </c>
      <c r="J104" s="61">
        <v>8796.701058703271</v>
      </c>
      <c r="K104" s="61">
        <v>8801.3828125</v>
      </c>
      <c r="L104" s="61">
        <v>0.16590245327097364</v>
      </c>
      <c r="M104" s="61">
        <v>4.84765625</v>
      </c>
      <c r="N104" s="61">
        <v>2536.734375</v>
      </c>
      <c r="O104" s="61">
        <v>2636.4166179906542</v>
      </c>
      <c r="P104" s="61">
        <v>2636.734375</v>
      </c>
      <c r="Q104" s="61">
        <v>99.682242990654231</v>
      </c>
      <c r="R104" s="61">
        <v>100</v>
      </c>
      <c r="S104" s="61">
        <v>52.201869158878502</v>
      </c>
      <c r="T104" s="61">
        <v>100</v>
      </c>
      <c r="U104" s="61">
        <v>54.834715887850464</v>
      </c>
      <c r="V104" s="61">
        <v>131.74100000000001</v>
      </c>
      <c r="W104" s="68">
        <v>1.9541378000682783</v>
      </c>
    </row>
    <row r="105" spans="1:23">
      <c r="A105" s="240"/>
      <c r="B105" s="243" t="s">
        <v>2</v>
      </c>
      <c r="C105" s="87">
        <v>4</v>
      </c>
      <c r="D105" s="62">
        <v>122.28836190000004</v>
      </c>
      <c r="E105" s="62">
        <v>6.7937978833333359</v>
      </c>
      <c r="F105" s="62">
        <v>147.19307479741451</v>
      </c>
      <c r="G105" s="62">
        <v>2.9265349804305281</v>
      </c>
      <c r="H105" s="62">
        <v>6.640625</v>
      </c>
      <c r="I105" s="62">
        <v>8796.578125</v>
      </c>
      <c r="J105" s="62">
        <v>8796.8010411570449</v>
      </c>
      <c r="K105" s="62">
        <v>8801.45703125</v>
      </c>
      <c r="L105" s="62">
        <v>0.22291615704489232</v>
      </c>
      <c r="M105" s="62">
        <v>4.87890625</v>
      </c>
      <c r="N105" s="62">
        <v>2536.734375</v>
      </c>
      <c r="O105" s="62">
        <v>2636.4408329256362</v>
      </c>
      <c r="P105" s="62">
        <v>2636.734375</v>
      </c>
      <c r="Q105" s="62">
        <v>99.706457925636187</v>
      </c>
      <c r="R105" s="62">
        <v>100</v>
      </c>
      <c r="S105" s="62">
        <v>54.810176125244617</v>
      </c>
      <c r="T105" s="62">
        <v>100</v>
      </c>
      <c r="U105" s="62">
        <v>56.787069471624271</v>
      </c>
      <c r="V105" s="62">
        <v>129.44900000000001</v>
      </c>
      <c r="W105" s="67">
        <v>1.9314510331366948</v>
      </c>
    </row>
    <row r="106" spans="1:23" ht="14.5" thickBot="1">
      <c r="A106" s="240"/>
      <c r="B106" s="244" t="s">
        <v>2</v>
      </c>
      <c r="C106" s="88">
        <v>5</v>
      </c>
      <c r="D106" s="61">
        <v>124.43429579999997</v>
      </c>
      <c r="E106" s="61">
        <v>6.9130164333333317</v>
      </c>
      <c r="F106" s="61">
        <v>144.65465396236851</v>
      </c>
      <c r="G106" s="61">
        <v>2.9406643272023234</v>
      </c>
      <c r="H106" s="61">
        <v>6.71875</v>
      </c>
      <c r="I106" s="61">
        <v>8796.671875</v>
      </c>
      <c r="J106" s="61">
        <v>8796.8171398535815</v>
      </c>
      <c r="K106" s="61">
        <v>8801.46875</v>
      </c>
      <c r="L106" s="61">
        <v>0.14526485358146601</v>
      </c>
      <c r="M106" s="61">
        <v>4.796875</v>
      </c>
      <c r="N106" s="61">
        <v>2536.734375</v>
      </c>
      <c r="O106" s="61">
        <v>2636.4633198209099</v>
      </c>
      <c r="P106" s="61">
        <v>2636.734375</v>
      </c>
      <c r="Q106" s="61">
        <v>99.728944820909874</v>
      </c>
      <c r="R106" s="61">
        <v>100</v>
      </c>
      <c r="S106" s="61">
        <v>51.247821878025171</v>
      </c>
      <c r="T106" s="61">
        <v>100</v>
      </c>
      <c r="U106" s="61">
        <v>57.291186834462735</v>
      </c>
      <c r="V106" s="61">
        <v>133.66499999999999</v>
      </c>
      <c r="W106" s="68">
        <v>1.9828620680104141</v>
      </c>
    </row>
    <row r="107" spans="1:23">
      <c r="A107" s="240"/>
      <c r="B107" s="245" t="s">
        <v>3</v>
      </c>
      <c r="C107" s="87">
        <v>1</v>
      </c>
      <c r="D107" s="62">
        <v>100.37728659999993</v>
      </c>
      <c r="E107" s="62">
        <v>16.839001274953855</v>
      </c>
      <c r="F107" s="62">
        <v>59.385944788031395</v>
      </c>
      <c r="G107" s="62">
        <v>2.5717503117206988</v>
      </c>
      <c r="H107" s="62">
        <v>6.234375</v>
      </c>
      <c r="I107" s="62">
        <v>348.5859375</v>
      </c>
      <c r="J107" s="62">
        <v>663.23002065149626</v>
      </c>
      <c r="K107" s="62">
        <v>894.28515625</v>
      </c>
      <c r="L107" s="62">
        <v>314.64408315149626</v>
      </c>
      <c r="M107" s="62">
        <v>545.69921875</v>
      </c>
      <c r="N107" s="62">
        <v>2457.11328125</v>
      </c>
      <c r="O107" s="62">
        <v>2556.6394657886535</v>
      </c>
      <c r="P107" s="62">
        <v>2557.11328125</v>
      </c>
      <c r="Q107" s="62">
        <v>99.526184538653524</v>
      </c>
      <c r="R107" s="62">
        <v>100</v>
      </c>
      <c r="S107" s="62">
        <v>29.234413965087281</v>
      </c>
      <c r="T107" s="62">
        <v>82</v>
      </c>
      <c r="U107" s="62">
        <v>24.811588528678303</v>
      </c>
      <c r="V107" s="62">
        <v>77.209999999999994</v>
      </c>
      <c r="W107" s="67">
        <v>0.65978307224579302</v>
      </c>
    </row>
    <row r="108" spans="1:23">
      <c r="A108" s="240"/>
      <c r="B108" s="245" t="s">
        <v>3</v>
      </c>
      <c r="C108" s="88">
        <v>2</v>
      </c>
      <c r="D108" s="61">
        <v>103.77588079999987</v>
      </c>
      <c r="E108" s="61">
        <v>17.409139540345556</v>
      </c>
      <c r="F108" s="61">
        <v>57.441092805448946</v>
      </c>
      <c r="G108" s="61">
        <v>2.3162697294250281</v>
      </c>
      <c r="H108" s="61">
        <v>5.328125</v>
      </c>
      <c r="I108" s="61">
        <v>894.95703125</v>
      </c>
      <c r="J108" s="61">
        <v>899.75648692925597</v>
      </c>
      <c r="K108" s="61">
        <v>904.7265625</v>
      </c>
      <c r="L108" s="61">
        <v>4.7994556792559706</v>
      </c>
      <c r="M108" s="61">
        <v>9.76953125</v>
      </c>
      <c r="N108" s="61">
        <v>2457.11328125</v>
      </c>
      <c r="O108" s="61">
        <v>2556.6848708779594</v>
      </c>
      <c r="P108" s="61">
        <v>2557.11328125</v>
      </c>
      <c r="Q108" s="61">
        <v>99.571589627959384</v>
      </c>
      <c r="R108" s="61">
        <v>100</v>
      </c>
      <c r="S108" s="61">
        <v>29.086809470124013</v>
      </c>
      <c r="T108" s="61">
        <v>100</v>
      </c>
      <c r="U108" s="61">
        <v>22.838583990980833</v>
      </c>
      <c r="V108" s="61">
        <v>56.712000000000003</v>
      </c>
      <c r="W108" s="68">
        <v>0.64146897786180057</v>
      </c>
    </row>
    <row r="109" spans="1:23">
      <c r="A109" s="240"/>
      <c r="B109" s="245" t="s">
        <v>3</v>
      </c>
      <c r="C109" s="87">
        <v>3</v>
      </c>
      <c r="D109" s="62">
        <v>87.156874599997536</v>
      </c>
      <c r="E109" s="62">
        <v>14.621183459150735</v>
      </c>
      <c r="F109" s="62">
        <v>68.393916456478451</v>
      </c>
      <c r="G109" s="62">
        <v>2.4383855585831062</v>
      </c>
      <c r="H109" s="62">
        <v>4.9281249999999996</v>
      </c>
      <c r="I109" s="62">
        <v>900.1953125</v>
      </c>
      <c r="J109" s="62">
        <v>901.09186073739784</v>
      </c>
      <c r="K109" s="62">
        <v>905.78515625</v>
      </c>
      <c r="L109" s="62">
        <v>0.89654823739783751</v>
      </c>
      <c r="M109" s="62">
        <v>5.58984375</v>
      </c>
      <c r="N109" s="62">
        <v>2457.11328125</v>
      </c>
      <c r="O109" s="62">
        <v>2556.5410741655314</v>
      </c>
      <c r="P109" s="62">
        <v>2557.11328125</v>
      </c>
      <c r="Q109" s="62">
        <v>99.427792915531427</v>
      </c>
      <c r="R109" s="62">
        <v>100</v>
      </c>
      <c r="S109" s="62">
        <v>31.506811989100818</v>
      </c>
      <c r="T109" s="62">
        <v>100</v>
      </c>
      <c r="U109" s="62">
        <v>27.705001362397823</v>
      </c>
      <c r="V109" s="62">
        <v>96.847999999999999</v>
      </c>
      <c r="W109" s="67">
        <v>0.64931418832894638</v>
      </c>
    </row>
    <row r="110" spans="1:23">
      <c r="A110" s="240"/>
      <c r="B110" s="245" t="s">
        <v>3</v>
      </c>
      <c r="C110" s="88">
        <v>4</v>
      </c>
      <c r="D110" s="61">
        <v>157.5180388000008</v>
      </c>
      <c r="E110" s="61">
        <v>26.424767455125114</v>
      </c>
      <c r="F110" s="61">
        <v>37.843284778123902</v>
      </c>
      <c r="G110" s="61">
        <v>2.783205295138889</v>
      </c>
      <c r="H110" s="61">
        <v>6.2718749999999996</v>
      </c>
      <c r="I110" s="61">
        <v>901.125</v>
      </c>
      <c r="J110" s="61">
        <v>901.44380425347219</v>
      </c>
      <c r="K110" s="61">
        <v>906.07421875</v>
      </c>
      <c r="L110" s="61">
        <v>0.31880425347219443</v>
      </c>
      <c r="M110" s="61">
        <v>4.94921875</v>
      </c>
      <c r="N110" s="61">
        <v>2457.11328125</v>
      </c>
      <c r="O110" s="61">
        <v>2556.7799479166665</v>
      </c>
      <c r="P110" s="61">
        <v>2557.11328125</v>
      </c>
      <c r="Q110" s="61">
        <v>99.666666666666515</v>
      </c>
      <c r="R110" s="61">
        <v>100</v>
      </c>
      <c r="S110" s="61">
        <v>19.910416666666666</v>
      </c>
      <c r="T110" s="61">
        <v>100</v>
      </c>
      <c r="U110" s="61">
        <v>17.948256944444445</v>
      </c>
      <c r="V110" s="61">
        <v>53.420999999999999</v>
      </c>
      <c r="W110" s="68">
        <v>0.7857004698521064</v>
      </c>
    </row>
    <row r="111" spans="1:23" ht="14.5" thickBot="1">
      <c r="A111" s="240"/>
      <c r="B111" s="245" t="s">
        <v>3</v>
      </c>
      <c r="C111" s="87">
        <v>5</v>
      </c>
      <c r="D111" s="62">
        <v>72.609153600002173</v>
      </c>
      <c r="E111" s="62">
        <v>12.180700150981744</v>
      </c>
      <c r="F111" s="62">
        <v>82.097086998681405</v>
      </c>
      <c r="G111" s="62">
        <v>2.6659277504105092</v>
      </c>
      <c r="H111" s="62">
        <v>4.9281249999999996</v>
      </c>
      <c r="I111" s="62">
        <v>901.859375</v>
      </c>
      <c r="J111" s="62">
        <v>906.89809113300498</v>
      </c>
      <c r="K111" s="62">
        <v>911.60546875</v>
      </c>
      <c r="L111" s="62">
        <v>5.0387161330049821</v>
      </c>
      <c r="M111" s="62">
        <v>9.74609375</v>
      </c>
      <c r="N111" s="62">
        <v>2457.11328125</v>
      </c>
      <c r="O111" s="62">
        <v>2556.4893075225782</v>
      </c>
      <c r="P111" s="62">
        <v>2557.11328125</v>
      </c>
      <c r="Q111" s="62">
        <v>99.376026272578201</v>
      </c>
      <c r="R111" s="62">
        <v>100</v>
      </c>
      <c r="S111" s="62">
        <v>33.628899835796389</v>
      </c>
      <c r="T111" s="62">
        <v>100</v>
      </c>
      <c r="U111" s="62">
        <v>32.869922824302137</v>
      </c>
      <c r="V111" s="62">
        <v>94.206999999999994</v>
      </c>
      <c r="W111" s="67">
        <v>0.64717532313389659</v>
      </c>
    </row>
    <row r="112" spans="1:23">
      <c r="A112" s="240"/>
      <c r="B112" s="242" t="s">
        <v>4</v>
      </c>
      <c r="C112" s="88">
        <v>1</v>
      </c>
      <c r="D112" s="61">
        <v>21.085344300000088</v>
      </c>
      <c r="E112" s="61">
        <v>7.0284481000000296</v>
      </c>
      <c r="F112" s="61">
        <v>142.27891929656502</v>
      </c>
      <c r="G112" s="61">
        <v>2.8543616310160429</v>
      </c>
      <c r="H112" s="61">
        <v>5.8250000000000002</v>
      </c>
      <c r="I112" s="61">
        <v>4601.59375</v>
      </c>
      <c r="J112" s="61">
        <v>4610.1756768048126</v>
      </c>
      <c r="K112" s="61">
        <v>4610.453125</v>
      </c>
      <c r="L112" s="61">
        <v>8.5819268048126105</v>
      </c>
      <c r="M112" s="61">
        <v>8.859375</v>
      </c>
      <c r="N112" s="61">
        <v>3352.75390625</v>
      </c>
      <c r="O112" s="61">
        <v>3431.4915399398396</v>
      </c>
      <c r="P112" s="61">
        <v>3432.81640625</v>
      </c>
      <c r="Q112" s="61">
        <v>78.73763368983964</v>
      </c>
      <c r="R112" s="61">
        <v>80.0625</v>
      </c>
      <c r="S112" s="61">
        <v>56.155080213903744</v>
      </c>
      <c r="T112" s="61">
        <v>100</v>
      </c>
      <c r="U112" s="61">
        <v>48.634427807486624</v>
      </c>
      <c r="V112" s="61">
        <v>118.209</v>
      </c>
      <c r="W112" s="68">
        <v>0.28761969338108223</v>
      </c>
    </row>
    <row r="113" spans="1:23">
      <c r="A113" s="240"/>
      <c r="B113" s="243" t="s">
        <v>4</v>
      </c>
      <c r="C113" s="87">
        <v>2</v>
      </c>
      <c r="D113" s="62">
        <v>21.455715499999997</v>
      </c>
      <c r="E113" s="62">
        <v>7.1519051666666655</v>
      </c>
      <c r="F113" s="62">
        <v>139.82288309145414</v>
      </c>
      <c r="G113" s="62">
        <v>2.8814790575916227</v>
      </c>
      <c r="H113" s="62">
        <v>5.8250000000000002</v>
      </c>
      <c r="I113" s="62">
        <v>4610.89453125</v>
      </c>
      <c r="J113" s="62">
        <v>4611.3538939790578</v>
      </c>
      <c r="K113" s="62">
        <v>4615.69921875</v>
      </c>
      <c r="L113" s="62">
        <v>0.45936272905782971</v>
      </c>
      <c r="M113" s="62">
        <v>4.8046875</v>
      </c>
      <c r="N113" s="62">
        <v>3352.81640625</v>
      </c>
      <c r="O113" s="62">
        <v>3431.559861747382</v>
      </c>
      <c r="P113" s="62">
        <v>3432.81640625</v>
      </c>
      <c r="Q113" s="62">
        <v>78.743455497382001</v>
      </c>
      <c r="R113" s="62">
        <v>80</v>
      </c>
      <c r="S113" s="62">
        <v>55.968586387434556</v>
      </c>
      <c r="T113" s="62">
        <v>100</v>
      </c>
      <c r="U113" s="62">
        <v>48.700240837696327</v>
      </c>
      <c r="V113" s="62">
        <v>97.070999999999998</v>
      </c>
      <c r="W113" s="67">
        <v>0.2935405008215845</v>
      </c>
    </row>
    <row r="114" spans="1:23">
      <c r="A114" s="240"/>
      <c r="B114" s="243" t="s">
        <v>4</v>
      </c>
      <c r="C114" s="88">
        <v>3</v>
      </c>
      <c r="D114" s="61">
        <v>20.792466399999967</v>
      </c>
      <c r="E114" s="61">
        <v>6.9308221333333222</v>
      </c>
      <c r="F114" s="61">
        <v>144.28302743343642</v>
      </c>
      <c r="G114" s="61">
        <v>2.841061452513967</v>
      </c>
      <c r="H114" s="61">
        <v>9.35</v>
      </c>
      <c r="I114" s="61">
        <v>4611.50390625</v>
      </c>
      <c r="J114" s="61">
        <v>4611.6909043296091</v>
      </c>
      <c r="K114" s="61">
        <v>4616.31640625</v>
      </c>
      <c r="L114" s="61">
        <v>0.1869980796091113</v>
      </c>
      <c r="M114" s="61">
        <v>4.8125</v>
      </c>
      <c r="N114" s="61">
        <v>3352.81640625</v>
      </c>
      <c r="O114" s="61">
        <v>3431.4756241270948</v>
      </c>
      <c r="P114" s="61">
        <v>3432.81640625</v>
      </c>
      <c r="Q114" s="61">
        <v>78.659217877094761</v>
      </c>
      <c r="R114" s="61">
        <v>80</v>
      </c>
      <c r="S114" s="61">
        <v>56.731843575418992</v>
      </c>
      <c r="T114" s="61">
        <v>100</v>
      </c>
      <c r="U114" s="61">
        <v>49.184698324022357</v>
      </c>
      <c r="V114" s="61">
        <v>98.756</v>
      </c>
      <c r="W114" s="68">
        <v>0.28579516076795974</v>
      </c>
    </row>
    <row r="115" spans="1:23">
      <c r="A115" s="240"/>
      <c r="B115" s="243" t="s">
        <v>4</v>
      </c>
      <c r="C115" s="87">
        <v>4</v>
      </c>
      <c r="D115" s="62">
        <v>20.69288070000016</v>
      </c>
      <c r="E115" s="62">
        <v>6.897626900000053</v>
      </c>
      <c r="F115" s="62">
        <v>144.97739795116959</v>
      </c>
      <c r="G115" s="62">
        <v>2.8678546348314611</v>
      </c>
      <c r="H115" s="62">
        <v>5.328125</v>
      </c>
      <c r="I115" s="62">
        <v>4611.55859375</v>
      </c>
      <c r="J115" s="62">
        <v>4611.6836595856739</v>
      </c>
      <c r="K115" s="62">
        <v>4614.0625</v>
      </c>
      <c r="L115" s="62">
        <v>0.12506583567392227</v>
      </c>
      <c r="M115" s="62">
        <v>2.50390625</v>
      </c>
      <c r="N115" s="62">
        <v>3352.81640625</v>
      </c>
      <c r="O115" s="62">
        <v>3431.4680916432585</v>
      </c>
      <c r="P115" s="62">
        <v>3432.81640625</v>
      </c>
      <c r="Q115" s="62">
        <v>78.651685393258504</v>
      </c>
      <c r="R115" s="62">
        <v>80</v>
      </c>
      <c r="S115" s="62">
        <v>55.786516853932582</v>
      </c>
      <c r="T115" s="62">
        <v>100</v>
      </c>
      <c r="U115" s="62">
        <v>48.002786516853931</v>
      </c>
      <c r="V115" s="62">
        <v>122.517</v>
      </c>
      <c r="W115" s="67">
        <v>0.27540256103318311</v>
      </c>
    </row>
    <row r="116" spans="1:23" ht="14.5" thickBot="1">
      <c r="A116" s="240"/>
      <c r="B116" s="244" t="s">
        <v>4</v>
      </c>
      <c r="C116" s="88">
        <v>5</v>
      </c>
      <c r="D116" s="61">
        <v>21.105526499999996</v>
      </c>
      <c r="E116" s="61">
        <v>7.0351754999999994</v>
      </c>
      <c r="F116" s="61">
        <v>142.14286480841881</v>
      </c>
      <c r="G116" s="61">
        <v>2.9140007062146895</v>
      </c>
      <c r="H116" s="61">
        <v>6.71875</v>
      </c>
      <c r="I116" s="61">
        <v>4611.58984375</v>
      </c>
      <c r="J116" s="61">
        <v>4611.7240245409603</v>
      </c>
      <c r="K116" s="61">
        <v>4612.01953125</v>
      </c>
      <c r="L116" s="61">
        <v>0.13418079096027213</v>
      </c>
      <c r="M116" s="61">
        <v>0.4296875</v>
      </c>
      <c r="N116" s="61">
        <v>3352.81640625</v>
      </c>
      <c r="O116" s="61">
        <v>3431.8107565324858</v>
      </c>
      <c r="P116" s="61">
        <v>3433.31640625</v>
      </c>
      <c r="Q116" s="61">
        <v>78.994350282485811</v>
      </c>
      <c r="R116" s="61">
        <v>80.5</v>
      </c>
      <c r="S116" s="61">
        <v>52.949152542372879</v>
      </c>
      <c r="T116" s="61">
        <v>100</v>
      </c>
      <c r="U116" s="61">
        <v>50.571988700564965</v>
      </c>
      <c r="V116" s="61">
        <v>130.52199999999999</v>
      </c>
      <c r="W116" s="68">
        <v>0.30215302665007071</v>
      </c>
    </row>
    <row r="117" spans="1:23">
      <c r="A117" s="240"/>
      <c r="B117" s="246" t="s">
        <v>5</v>
      </c>
      <c r="C117" s="87">
        <v>1</v>
      </c>
      <c r="D117" s="62">
        <v>17.786758400000053</v>
      </c>
      <c r="E117" s="62">
        <v>7.1865690505050717</v>
      </c>
      <c r="F117" s="62">
        <v>139.14845776507497</v>
      </c>
      <c r="G117" s="62">
        <v>2.8696336206896551</v>
      </c>
      <c r="H117" s="62">
        <v>5.8250000000000002</v>
      </c>
      <c r="I117" s="62">
        <v>5757.296875</v>
      </c>
      <c r="J117" s="62">
        <v>5758.1415409482761</v>
      </c>
      <c r="K117" s="62">
        <v>5758.97265625</v>
      </c>
      <c r="L117" s="62">
        <v>0.84466594827608787</v>
      </c>
      <c r="M117" s="62">
        <v>1.67578125</v>
      </c>
      <c r="N117" s="62">
        <v>3336.20703125</v>
      </c>
      <c r="O117" s="62">
        <v>3434.1380657327586</v>
      </c>
      <c r="P117" s="62">
        <v>3436.20703125</v>
      </c>
      <c r="Q117" s="62">
        <v>97.931034482758605</v>
      </c>
      <c r="R117" s="62">
        <v>100</v>
      </c>
      <c r="S117" s="62">
        <v>47.972413793103449</v>
      </c>
      <c r="T117" s="62">
        <v>100</v>
      </c>
      <c r="U117" s="62">
        <v>50.57119310344828</v>
      </c>
      <c r="V117" s="62">
        <v>128.20500000000001</v>
      </c>
      <c r="W117" s="67">
        <v>0.25568993762998621</v>
      </c>
    </row>
    <row r="118" spans="1:23">
      <c r="A118" s="240"/>
      <c r="B118" s="245" t="s">
        <v>5</v>
      </c>
      <c r="C118" s="88">
        <v>2</v>
      </c>
      <c r="D118" s="61">
        <v>17.772478299999875</v>
      </c>
      <c r="E118" s="61">
        <v>7.1807993131312626</v>
      </c>
      <c r="F118" s="61">
        <v>139.26026287510041</v>
      </c>
      <c r="G118" s="61">
        <v>2.9120416666666666</v>
      </c>
      <c r="H118" s="61">
        <v>7.1031250000000004</v>
      </c>
      <c r="I118" s="61">
        <v>5758.8828125</v>
      </c>
      <c r="J118" s="61">
        <v>5759.0351822916664</v>
      </c>
      <c r="K118" s="61">
        <v>5762.49609375</v>
      </c>
      <c r="L118" s="61">
        <v>0.15236979166638775</v>
      </c>
      <c r="M118" s="61">
        <v>3.61328125</v>
      </c>
      <c r="N118" s="61">
        <v>3336.20703125</v>
      </c>
      <c r="O118" s="61">
        <v>3434.20703125</v>
      </c>
      <c r="P118" s="61">
        <v>3436.20703125</v>
      </c>
      <c r="Q118" s="61">
        <v>98</v>
      </c>
      <c r="R118" s="61">
        <v>100</v>
      </c>
      <c r="S118" s="61">
        <v>48.1</v>
      </c>
      <c r="T118" s="61">
        <v>100</v>
      </c>
      <c r="U118" s="61">
        <v>50.179826666666671</v>
      </c>
      <c r="V118" s="61">
        <v>128.47499999999999</v>
      </c>
      <c r="W118" s="68">
        <v>0.25231722809967583</v>
      </c>
    </row>
    <row r="119" spans="1:23">
      <c r="A119" s="240"/>
      <c r="B119" s="245" t="s">
        <v>5</v>
      </c>
      <c r="C119" s="87">
        <v>3</v>
      </c>
      <c r="D119" s="62">
        <v>17.80694840000001</v>
      </c>
      <c r="E119" s="62">
        <v>7.1947266262626304</v>
      </c>
      <c r="F119" s="62">
        <v>138.99068747792847</v>
      </c>
      <c r="G119" s="62">
        <v>2.9218543046357617</v>
      </c>
      <c r="H119" s="62">
        <v>6.2156250000000002</v>
      </c>
      <c r="I119" s="62">
        <v>5758.8984375</v>
      </c>
      <c r="J119" s="62">
        <v>5759.056110306291</v>
      </c>
      <c r="K119" s="62">
        <v>5761.2578125</v>
      </c>
      <c r="L119" s="62">
        <v>0.15767280629097513</v>
      </c>
      <c r="M119" s="62">
        <v>2.359375</v>
      </c>
      <c r="N119" s="62">
        <v>3336.20703125</v>
      </c>
      <c r="O119" s="62">
        <v>3434.2202762831125</v>
      </c>
      <c r="P119" s="62">
        <v>3436.20703125</v>
      </c>
      <c r="Q119" s="62">
        <v>98.013245033112526</v>
      </c>
      <c r="R119" s="62">
        <v>100</v>
      </c>
      <c r="S119" s="62">
        <v>47.721854304635762</v>
      </c>
      <c r="T119" s="62">
        <v>100</v>
      </c>
      <c r="U119" s="62">
        <v>51.675966887417218</v>
      </c>
      <c r="V119" s="62">
        <v>128.71100000000001</v>
      </c>
      <c r="W119" s="67">
        <v>0.25983249347968146</v>
      </c>
    </row>
    <row r="120" spans="1:23">
      <c r="A120" s="240"/>
      <c r="B120" s="245" t="s">
        <v>5</v>
      </c>
      <c r="C120" s="88">
        <v>4</v>
      </c>
      <c r="D120" s="61">
        <v>17.656453499999998</v>
      </c>
      <c r="E120" s="61">
        <v>7.133920606060606</v>
      </c>
      <c r="F120" s="61">
        <v>140.17537553620269</v>
      </c>
      <c r="G120" s="61">
        <v>2.914828020134228</v>
      </c>
      <c r="H120" s="61">
        <v>7.1031250000000004</v>
      </c>
      <c r="I120" s="61">
        <v>5758.94921875</v>
      </c>
      <c r="J120" s="61">
        <v>5759.1202548238252</v>
      </c>
      <c r="K120" s="61">
        <v>5763.75</v>
      </c>
      <c r="L120" s="61">
        <v>0.17103607382523478</v>
      </c>
      <c r="M120" s="61">
        <v>4.80078125</v>
      </c>
      <c r="N120" s="61">
        <v>3336.20703125</v>
      </c>
      <c r="O120" s="61">
        <v>3433.9251520553689</v>
      </c>
      <c r="P120" s="61">
        <v>3436.20703125</v>
      </c>
      <c r="Q120" s="61">
        <v>97.718120805368926</v>
      </c>
      <c r="R120" s="61">
        <v>100</v>
      </c>
      <c r="S120" s="61">
        <v>48.093959731543627</v>
      </c>
      <c r="T120" s="61">
        <v>100</v>
      </c>
      <c r="U120" s="61">
        <v>50.098046979865771</v>
      </c>
      <c r="V120" s="61">
        <v>133.04499999999999</v>
      </c>
      <c r="W120" s="68">
        <v>0.25104993236224687</v>
      </c>
    </row>
    <row r="121" spans="1:23" ht="14.5" thickBot="1">
      <c r="A121" s="241"/>
      <c r="B121" s="247" t="s">
        <v>5</v>
      </c>
      <c r="C121" s="89">
        <v>5</v>
      </c>
      <c r="D121" s="74">
        <v>18.512932000000092</v>
      </c>
      <c r="E121" s="74">
        <v>7.4799725252525624</v>
      </c>
      <c r="F121" s="74">
        <v>133.69033062942097</v>
      </c>
      <c r="G121" s="74">
        <v>2.9445312499999998</v>
      </c>
      <c r="H121" s="74">
        <v>5.375</v>
      </c>
      <c r="I121" s="74">
        <v>5758.9609375</v>
      </c>
      <c r="J121" s="74">
        <v>5759.1032652243593</v>
      </c>
      <c r="K121" s="74">
        <v>5763.640625</v>
      </c>
      <c r="L121" s="74">
        <v>0.14232772435934749</v>
      </c>
      <c r="M121" s="74">
        <v>4.6796875</v>
      </c>
      <c r="N121" s="74">
        <v>3336.20703125</v>
      </c>
      <c r="O121" s="74">
        <v>3434.2839543269229</v>
      </c>
      <c r="P121" s="74">
        <v>3436.20703125</v>
      </c>
      <c r="Q121" s="74">
        <v>98.076923076922867</v>
      </c>
      <c r="R121" s="74">
        <v>100</v>
      </c>
      <c r="S121" s="74">
        <v>43.794871794871796</v>
      </c>
      <c r="T121" s="74">
        <v>100</v>
      </c>
      <c r="U121" s="74">
        <v>53.008301282051271</v>
      </c>
      <c r="V121" s="74">
        <v>132.75700000000001</v>
      </c>
      <c r="W121" s="75">
        <v>0.27449905269580421</v>
      </c>
    </row>
    <row r="122" spans="1:23">
      <c r="A122" s="239" t="s">
        <v>76</v>
      </c>
      <c r="B122" s="242" t="s">
        <v>2</v>
      </c>
      <c r="C122" s="86">
        <v>1</v>
      </c>
      <c r="D122" s="65">
        <v>125.90523750000011</v>
      </c>
      <c r="E122" s="65">
        <v>6.9947354166666731</v>
      </c>
      <c r="F122" s="65">
        <v>142.96466419834189</v>
      </c>
      <c r="G122" s="65">
        <v>2.8163756527415145</v>
      </c>
      <c r="H122" s="65">
        <v>6.2156250000000002</v>
      </c>
      <c r="I122" s="65">
        <v>5154.65234375</v>
      </c>
      <c r="J122" s="65">
        <v>5155.3779271377289</v>
      </c>
      <c r="K122" s="65">
        <v>5160.12890625</v>
      </c>
      <c r="L122" s="65">
        <v>0.7255833877288751</v>
      </c>
      <c r="M122" s="65">
        <v>5.4765625</v>
      </c>
      <c r="N122" s="65">
        <v>6434.98046875</v>
      </c>
      <c r="O122" s="65">
        <v>6454.9456558692345</v>
      </c>
      <c r="P122" s="65">
        <v>6454.98046875</v>
      </c>
      <c r="Q122" s="65">
        <v>19.965187119234542</v>
      </c>
      <c r="R122" s="65">
        <v>20</v>
      </c>
      <c r="S122" s="65">
        <v>35.950391644908613</v>
      </c>
      <c r="T122" s="65">
        <v>99</v>
      </c>
      <c r="U122" s="65">
        <v>16.27934725848564</v>
      </c>
      <c r="V122" s="65">
        <v>33.176000000000002</v>
      </c>
      <c r="W122" s="66">
        <v>0.57019870844176235</v>
      </c>
    </row>
    <row r="123" spans="1:23">
      <c r="A123" s="240"/>
      <c r="B123" s="243" t="s">
        <v>2</v>
      </c>
      <c r="C123" s="87">
        <v>2</v>
      </c>
      <c r="D123" s="62">
        <v>121.85834590000013</v>
      </c>
      <c r="E123" s="62">
        <v>6.7699081055555634</v>
      </c>
      <c r="F123" s="62">
        <v>147.71249246047728</v>
      </c>
      <c r="G123" s="62">
        <v>2.8754262646793132</v>
      </c>
      <c r="H123" s="62">
        <v>6.6593749999999998</v>
      </c>
      <c r="I123" s="62">
        <v>5156.96484375</v>
      </c>
      <c r="J123" s="62">
        <v>5157.1670089487352</v>
      </c>
      <c r="K123" s="62">
        <v>5161.78125</v>
      </c>
      <c r="L123" s="62">
        <v>0.20216519873520156</v>
      </c>
      <c r="M123" s="62">
        <v>4.81640625</v>
      </c>
      <c r="N123" s="62">
        <v>6434.98046875</v>
      </c>
      <c r="O123" s="62">
        <v>6454.9262682079943</v>
      </c>
      <c r="P123" s="62">
        <v>6454.98046875</v>
      </c>
      <c r="Q123" s="62">
        <v>19.945799457994326</v>
      </c>
      <c r="R123" s="62">
        <v>20</v>
      </c>
      <c r="S123" s="62">
        <v>35.602529358626917</v>
      </c>
      <c r="T123" s="62">
        <v>100</v>
      </c>
      <c r="U123" s="62">
        <v>15.946630532971994</v>
      </c>
      <c r="V123" s="62">
        <v>52.54</v>
      </c>
      <c r="W123" s="67">
        <v>0.54047310831270889</v>
      </c>
    </row>
    <row r="124" spans="1:23">
      <c r="A124" s="240"/>
      <c r="B124" s="243" t="s">
        <v>2</v>
      </c>
      <c r="C124" s="88">
        <v>3</v>
      </c>
      <c r="D124" s="61">
        <v>118.14596720000009</v>
      </c>
      <c r="E124" s="61">
        <v>6.5636648444444496</v>
      </c>
      <c r="F124" s="61">
        <v>152.35390954588576</v>
      </c>
      <c r="G124" s="61">
        <v>2.8798878949814126</v>
      </c>
      <c r="H124" s="61">
        <v>7.6156249999999996</v>
      </c>
      <c r="I124" s="61">
        <v>5157.26171875</v>
      </c>
      <c r="J124" s="61">
        <v>5157.412109375</v>
      </c>
      <c r="K124" s="61">
        <v>5160.06640625</v>
      </c>
      <c r="L124" s="61">
        <v>0.150390625</v>
      </c>
      <c r="M124" s="61">
        <v>2.8046875</v>
      </c>
      <c r="N124" s="61">
        <v>6434.98046875</v>
      </c>
      <c r="O124" s="61">
        <v>6454.9247066682155</v>
      </c>
      <c r="P124" s="61">
        <v>6454.98046875</v>
      </c>
      <c r="Q124" s="61">
        <v>19.944237918215549</v>
      </c>
      <c r="R124" s="61">
        <v>20</v>
      </c>
      <c r="S124" s="61">
        <v>37.310408921933089</v>
      </c>
      <c r="T124" s="61">
        <v>100</v>
      </c>
      <c r="U124" s="61">
        <v>16.324502788104091</v>
      </c>
      <c r="V124" s="61">
        <v>45.701999999999998</v>
      </c>
      <c r="W124" s="68">
        <v>0.53655375145847728</v>
      </c>
    </row>
    <row r="125" spans="1:23">
      <c r="A125" s="240"/>
      <c r="B125" s="243" t="s">
        <v>2</v>
      </c>
      <c r="C125" s="87">
        <v>4</v>
      </c>
      <c r="D125" s="62">
        <v>122.58409860000029</v>
      </c>
      <c r="E125" s="62">
        <v>6.8102277000000155</v>
      </c>
      <c r="F125" s="62">
        <v>146.83796842798628</v>
      </c>
      <c r="G125" s="62">
        <v>2.8453026905829595</v>
      </c>
      <c r="H125" s="62">
        <v>6.7531249999999998</v>
      </c>
      <c r="I125" s="62">
        <v>5130.2734375</v>
      </c>
      <c r="J125" s="62">
        <v>5130.429585902466</v>
      </c>
      <c r="K125" s="62">
        <v>5135.09375</v>
      </c>
      <c r="L125" s="62">
        <v>0.1561484024659876</v>
      </c>
      <c r="M125" s="62">
        <v>4.8203125</v>
      </c>
      <c r="N125" s="62">
        <v>6434.98046875</v>
      </c>
      <c r="O125" s="62">
        <v>6454.9266570908076</v>
      </c>
      <c r="P125" s="62">
        <v>6454.98046875</v>
      </c>
      <c r="Q125" s="62">
        <v>19.946188340807566</v>
      </c>
      <c r="R125" s="62">
        <v>20</v>
      </c>
      <c r="S125" s="62">
        <v>35.724663677130046</v>
      </c>
      <c r="T125" s="62">
        <v>99</v>
      </c>
      <c r="U125" s="62">
        <v>16.173649327354259</v>
      </c>
      <c r="V125" s="62">
        <v>36.043999999999997</v>
      </c>
      <c r="W125" s="67">
        <v>0.55150192165609091</v>
      </c>
    </row>
    <row r="126" spans="1:23" ht="14.5" thickBot="1">
      <c r="A126" s="240"/>
      <c r="B126" s="244" t="s">
        <v>2</v>
      </c>
      <c r="C126" s="88">
        <v>5</v>
      </c>
      <c r="D126" s="61">
        <v>131.06175669999993</v>
      </c>
      <c r="E126" s="61">
        <v>7.2812087055555512</v>
      </c>
      <c r="F126" s="61">
        <v>137.3398346948909</v>
      </c>
      <c r="G126" s="61">
        <v>2.8153731108312341</v>
      </c>
      <c r="H126" s="61">
        <v>6.2718749999999996</v>
      </c>
      <c r="I126" s="61">
        <v>5130.38671875</v>
      </c>
      <c r="J126" s="61">
        <v>5130.9276671389589</v>
      </c>
      <c r="K126" s="61">
        <v>5135.7890625</v>
      </c>
      <c r="L126" s="61">
        <v>0.54094838895889552</v>
      </c>
      <c r="M126" s="61">
        <v>5.40234375</v>
      </c>
      <c r="N126" s="61">
        <v>6434.98046875</v>
      </c>
      <c r="O126" s="61">
        <v>6454.9300909162466</v>
      </c>
      <c r="P126" s="61">
        <v>6454.98046875</v>
      </c>
      <c r="Q126" s="61">
        <v>19.949622166246627</v>
      </c>
      <c r="R126" s="61">
        <v>20</v>
      </c>
      <c r="S126" s="61">
        <v>30.785054575986567</v>
      </c>
      <c r="T126" s="61">
        <v>74</v>
      </c>
      <c r="U126" s="61">
        <v>14.067667506297227</v>
      </c>
      <c r="V126" s="61">
        <v>36.143999999999998</v>
      </c>
      <c r="W126" s="68">
        <v>0.51245137592112233</v>
      </c>
    </row>
    <row r="127" spans="1:23">
      <c r="A127" s="240"/>
      <c r="B127" s="245" t="s">
        <v>3</v>
      </c>
      <c r="C127" s="87">
        <v>1</v>
      </c>
      <c r="D127" s="62">
        <v>41.360826699999961</v>
      </c>
      <c r="E127" s="62">
        <v>6.9385718335849624</v>
      </c>
      <c r="F127" s="62">
        <v>144.12187752523829</v>
      </c>
      <c r="G127" s="62">
        <v>2.8721388522427436</v>
      </c>
      <c r="H127" s="62">
        <v>6.2156250000000002</v>
      </c>
      <c r="I127" s="62">
        <v>7493.29296875</v>
      </c>
      <c r="J127" s="62">
        <v>7494.2004864775727</v>
      </c>
      <c r="K127" s="62">
        <v>7498.5625</v>
      </c>
      <c r="L127" s="62">
        <v>0.90751772757266735</v>
      </c>
      <c r="M127" s="62">
        <v>5.26953125</v>
      </c>
      <c r="N127" s="62">
        <v>3388.15234375</v>
      </c>
      <c r="O127" s="62">
        <v>3408.0126772757258</v>
      </c>
      <c r="P127" s="62">
        <v>3412.171875</v>
      </c>
      <c r="Q127" s="62">
        <v>19.860333525725764</v>
      </c>
      <c r="R127" s="62">
        <v>24.01953125</v>
      </c>
      <c r="S127" s="62">
        <v>34.456464379947228</v>
      </c>
      <c r="T127" s="62">
        <v>77</v>
      </c>
      <c r="U127" s="62">
        <v>16.059696569920845</v>
      </c>
      <c r="V127" s="62">
        <v>36.566000000000003</v>
      </c>
      <c r="W127" s="67">
        <v>0.18526153060809802</v>
      </c>
    </row>
    <row r="128" spans="1:23">
      <c r="A128" s="240"/>
      <c r="B128" s="245" t="s">
        <v>3</v>
      </c>
      <c r="C128" s="88">
        <v>2</v>
      </c>
      <c r="D128" s="61">
        <v>39.959801799999923</v>
      </c>
      <c r="E128" s="61">
        <v>6.7035399765139951</v>
      </c>
      <c r="F128" s="61">
        <v>149.17491407577532</v>
      </c>
      <c r="G128" s="61">
        <v>2.8929474043715846</v>
      </c>
      <c r="H128" s="61">
        <v>6.71875</v>
      </c>
      <c r="I128" s="61">
        <v>7494.8671875</v>
      </c>
      <c r="J128" s="61">
        <v>7495.141553534836</v>
      </c>
      <c r="K128" s="61">
        <v>7499.74609375</v>
      </c>
      <c r="L128" s="61">
        <v>0.27436603483602084</v>
      </c>
      <c r="M128" s="61">
        <v>4.87890625</v>
      </c>
      <c r="N128" s="61">
        <v>3388.171875</v>
      </c>
      <c r="O128" s="61">
        <v>3408.0297984972676</v>
      </c>
      <c r="P128" s="61">
        <v>3412.171875</v>
      </c>
      <c r="Q128" s="61">
        <v>19.85792349726762</v>
      </c>
      <c r="R128" s="61">
        <v>24</v>
      </c>
      <c r="S128" s="61">
        <v>36.439890710382514</v>
      </c>
      <c r="T128" s="61">
        <v>100</v>
      </c>
      <c r="U128" s="61">
        <v>16.527150273224041</v>
      </c>
      <c r="V128" s="61">
        <v>30.754000000000001</v>
      </c>
      <c r="W128" s="68">
        <v>0.18401506127545852</v>
      </c>
    </row>
    <row r="129" spans="1:23">
      <c r="A129" s="240"/>
      <c r="B129" s="245" t="s">
        <v>3</v>
      </c>
      <c r="C129" s="87">
        <v>3</v>
      </c>
      <c r="D129" s="62">
        <v>43.605422699999963</v>
      </c>
      <c r="E129" s="62">
        <v>7.3151187216909852</v>
      </c>
      <c r="F129" s="62">
        <v>136.70318118484849</v>
      </c>
      <c r="G129" s="62">
        <v>2.8229244987468678</v>
      </c>
      <c r="H129" s="62">
        <v>5.8250000000000002</v>
      </c>
      <c r="I129" s="62">
        <v>7495.26953125</v>
      </c>
      <c r="J129" s="62">
        <v>7495.4039101660401</v>
      </c>
      <c r="K129" s="62">
        <v>7500.06640625</v>
      </c>
      <c r="L129" s="62">
        <v>0.13437891604007746</v>
      </c>
      <c r="M129" s="62">
        <v>4.796875</v>
      </c>
      <c r="N129" s="62">
        <v>3388.171875</v>
      </c>
      <c r="O129" s="62">
        <v>3408.0415491854637</v>
      </c>
      <c r="P129" s="62">
        <v>3412.171875</v>
      </c>
      <c r="Q129" s="62">
        <v>19.869674185463737</v>
      </c>
      <c r="R129" s="62">
        <v>24</v>
      </c>
      <c r="S129" s="62">
        <v>31.160401002506266</v>
      </c>
      <c r="T129" s="62">
        <v>100</v>
      </c>
      <c r="U129" s="62">
        <v>14.097260651629073</v>
      </c>
      <c r="V129" s="62">
        <v>41.261000000000003</v>
      </c>
      <c r="W129" s="67">
        <v>0.17120984085501195</v>
      </c>
    </row>
    <row r="130" spans="1:23">
      <c r="A130" s="240"/>
      <c r="B130" s="245" t="s">
        <v>3</v>
      </c>
      <c r="C130" s="88">
        <v>4</v>
      </c>
      <c r="D130" s="61">
        <v>41.416168499999912</v>
      </c>
      <c r="E130" s="61">
        <v>6.9478558127830752</v>
      </c>
      <c r="F130" s="61">
        <v>143.92929659825998</v>
      </c>
      <c r="G130" s="61">
        <v>2.8809046052631579</v>
      </c>
      <c r="H130" s="61">
        <v>6.2156250000000002</v>
      </c>
      <c r="I130" s="61">
        <v>7495.28125</v>
      </c>
      <c r="J130" s="61">
        <v>7496.3449115953945</v>
      </c>
      <c r="K130" s="61">
        <v>7501.0078125</v>
      </c>
      <c r="L130" s="61">
        <v>1.0636615953944784</v>
      </c>
      <c r="M130" s="61">
        <v>5.7265625</v>
      </c>
      <c r="N130" s="61">
        <v>3388.171875</v>
      </c>
      <c r="O130" s="61">
        <v>3408.0245065789472</v>
      </c>
      <c r="P130" s="61">
        <v>3412.171875</v>
      </c>
      <c r="Q130" s="61">
        <v>19.852631578947239</v>
      </c>
      <c r="R130" s="61">
        <v>24</v>
      </c>
      <c r="S130" s="61">
        <v>34.515789473684208</v>
      </c>
      <c r="T130" s="61">
        <v>95</v>
      </c>
      <c r="U130" s="61">
        <v>15.49985</v>
      </c>
      <c r="V130" s="61">
        <v>31.076000000000001</v>
      </c>
      <c r="W130" s="68">
        <v>0.17899493382727688</v>
      </c>
    </row>
    <row r="131" spans="1:23" ht="14.5" thickBot="1">
      <c r="A131" s="240"/>
      <c r="B131" s="245" t="s">
        <v>3</v>
      </c>
      <c r="C131" s="87">
        <v>5</v>
      </c>
      <c r="D131" s="62">
        <v>40.489574599999969</v>
      </c>
      <c r="E131" s="62">
        <v>6.7924131186042551</v>
      </c>
      <c r="F131" s="62">
        <v>147.22308295133345</v>
      </c>
      <c r="G131" s="62">
        <v>2.8644962938005394</v>
      </c>
      <c r="H131" s="62">
        <v>6.2718749999999996</v>
      </c>
      <c r="I131" s="62">
        <v>7496.22265625</v>
      </c>
      <c r="J131" s="62">
        <v>7408.6742229615902</v>
      </c>
      <c r="K131" s="62">
        <v>7501.03125</v>
      </c>
      <c r="L131" s="62">
        <v>0</v>
      </c>
      <c r="M131" s="62">
        <v>4.80859375</v>
      </c>
      <c r="N131" s="62">
        <v>3388.171875</v>
      </c>
      <c r="O131" s="62">
        <v>3408.0856216307279</v>
      </c>
      <c r="P131" s="62">
        <v>3412.171875</v>
      </c>
      <c r="Q131" s="62">
        <v>19.913746630727928</v>
      </c>
      <c r="R131" s="62">
        <v>24</v>
      </c>
      <c r="S131" s="62">
        <v>35.765498652291107</v>
      </c>
      <c r="T131" s="62">
        <v>100</v>
      </c>
      <c r="U131" s="62">
        <v>16.146487870619946</v>
      </c>
      <c r="V131" s="62">
        <v>38.024999999999999</v>
      </c>
      <c r="W131" s="67">
        <v>0.18239931219034655</v>
      </c>
    </row>
    <row r="132" spans="1:23">
      <c r="A132" s="240"/>
      <c r="B132" s="242" t="s">
        <v>4</v>
      </c>
      <c r="C132" s="88">
        <v>1</v>
      </c>
      <c r="D132" s="61">
        <v>20.542307600000186</v>
      </c>
      <c r="E132" s="61">
        <v>6.8474358666667285</v>
      </c>
      <c r="F132" s="61">
        <v>146.04006805934367</v>
      </c>
      <c r="G132" s="61">
        <v>2.7736019736842104</v>
      </c>
      <c r="H132" s="61">
        <v>5.375</v>
      </c>
      <c r="I132" s="61">
        <v>6793.58203125</v>
      </c>
      <c r="J132" s="61">
        <v>6793.8293585526317</v>
      </c>
      <c r="K132" s="61">
        <v>6798.4609375</v>
      </c>
      <c r="L132" s="61">
        <v>0.24732730263167468</v>
      </c>
      <c r="M132" s="61">
        <v>4.87890625</v>
      </c>
      <c r="N132" s="61">
        <v>3388.796875</v>
      </c>
      <c r="O132" s="61">
        <v>3408.5231907894736</v>
      </c>
      <c r="P132" s="61">
        <v>3412.796875</v>
      </c>
      <c r="Q132" s="61">
        <v>19.726315789473574</v>
      </c>
      <c r="R132" s="61">
        <v>24</v>
      </c>
      <c r="S132" s="61">
        <v>35.463157894736845</v>
      </c>
      <c r="T132" s="61">
        <v>100</v>
      </c>
      <c r="U132" s="61">
        <v>15.878505263157896</v>
      </c>
      <c r="V132" s="61">
        <v>28.59</v>
      </c>
      <c r="W132" s="68">
        <v>9.1290853727460208E-2</v>
      </c>
    </row>
    <row r="133" spans="1:23">
      <c r="A133" s="240"/>
      <c r="B133" s="243" t="s">
        <v>4</v>
      </c>
      <c r="C133" s="87">
        <v>2</v>
      </c>
      <c r="D133" s="62">
        <v>20.007258799999818</v>
      </c>
      <c r="E133" s="62">
        <v>6.6690862666666053</v>
      </c>
      <c r="F133" s="62">
        <v>149.94557875164924</v>
      </c>
      <c r="G133" s="62">
        <v>2.8828547297297296</v>
      </c>
      <c r="H133" s="62">
        <v>6.71875</v>
      </c>
      <c r="I133" s="62">
        <v>6794.2734375</v>
      </c>
      <c r="J133" s="62">
        <v>6794.425485641892</v>
      </c>
      <c r="K133" s="62">
        <v>6795.58984375</v>
      </c>
      <c r="L133" s="62">
        <v>0.15204814189200988</v>
      </c>
      <c r="M133" s="62">
        <v>1.31640625</v>
      </c>
      <c r="N133" s="62">
        <v>3388.796875</v>
      </c>
      <c r="O133" s="62">
        <v>3408.5157939189189</v>
      </c>
      <c r="P133" s="62">
        <v>3412.796875</v>
      </c>
      <c r="Q133" s="62">
        <v>19.718918918918916</v>
      </c>
      <c r="R133" s="62">
        <v>24</v>
      </c>
      <c r="S133" s="62">
        <v>36.470270270270269</v>
      </c>
      <c r="T133" s="62">
        <v>100</v>
      </c>
      <c r="U133" s="62">
        <v>15.665551351351349</v>
      </c>
      <c r="V133" s="62">
        <v>33.091000000000001</v>
      </c>
      <c r="W133" s="67">
        <v>8.7680825523081221E-2</v>
      </c>
    </row>
    <row r="134" spans="1:23">
      <c r="A134" s="240"/>
      <c r="B134" s="243" t="s">
        <v>4</v>
      </c>
      <c r="C134" s="88">
        <v>3</v>
      </c>
      <c r="D134" s="61">
        <v>20.020273000000088</v>
      </c>
      <c r="E134" s="61">
        <v>6.6734243333333625</v>
      </c>
      <c r="F134" s="61">
        <v>149.84810646687919</v>
      </c>
      <c r="G134" s="61">
        <v>2.732591711956522</v>
      </c>
      <c r="H134" s="61">
        <v>5.7718749999999996</v>
      </c>
      <c r="I134" s="61">
        <v>6794.87109375</v>
      </c>
      <c r="J134" s="61">
        <v>6794.990913722826</v>
      </c>
      <c r="K134" s="61">
        <v>6798.515625</v>
      </c>
      <c r="L134" s="61">
        <v>0.11981997282600787</v>
      </c>
      <c r="M134" s="61">
        <v>3.64453125</v>
      </c>
      <c r="N134" s="61">
        <v>3388.796875</v>
      </c>
      <c r="O134" s="61">
        <v>3408.492527173913</v>
      </c>
      <c r="P134" s="61">
        <v>3412.796875</v>
      </c>
      <c r="Q134" s="61">
        <v>19.695652173913004</v>
      </c>
      <c r="R134" s="61">
        <v>24</v>
      </c>
      <c r="S134" s="61">
        <v>35.277173913043477</v>
      </c>
      <c r="T134" s="61">
        <v>100</v>
      </c>
      <c r="U134" s="61">
        <v>16.075195652173914</v>
      </c>
      <c r="V134" s="61">
        <v>29.047000000000001</v>
      </c>
      <c r="W134" s="68">
        <v>9.0196228241028034E-2</v>
      </c>
    </row>
    <row r="135" spans="1:23">
      <c r="A135" s="240"/>
      <c r="B135" s="243" t="s">
        <v>4</v>
      </c>
      <c r="C135" s="87">
        <v>4</v>
      </c>
      <c r="D135" s="62">
        <v>21.1878185999999</v>
      </c>
      <c r="E135" s="62">
        <v>7.0626061999999674</v>
      </c>
      <c r="F135" s="62">
        <v>141.59079122944794</v>
      </c>
      <c r="G135" s="62">
        <v>2.7944265463917533</v>
      </c>
      <c r="H135" s="62">
        <v>5.375</v>
      </c>
      <c r="I135" s="62">
        <v>6794.87890625</v>
      </c>
      <c r="J135" s="62">
        <v>6795.0257530605668</v>
      </c>
      <c r="K135" s="62">
        <v>6799.671875</v>
      </c>
      <c r="L135" s="62">
        <v>0.14684681056678528</v>
      </c>
      <c r="M135" s="62">
        <v>4.79296875</v>
      </c>
      <c r="N135" s="62">
        <v>3388.796875</v>
      </c>
      <c r="O135" s="62">
        <v>3408.5082152061855</v>
      </c>
      <c r="P135" s="62">
        <v>3412.796875</v>
      </c>
      <c r="Q135" s="62">
        <v>19.711340206185469</v>
      </c>
      <c r="R135" s="62">
        <v>24</v>
      </c>
      <c r="S135" s="62">
        <v>30.680412371134022</v>
      </c>
      <c r="T135" s="62">
        <v>100</v>
      </c>
      <c r="U135" s="62">
        <v>14.944371134020619</v>
      </c>
      <c r="V135" s="62">
        <v>60.390999999999998</v>
      </c>
      <c r="W135" s="67">
        <v>8.8638198174110547E-2</v>
      </c>
    </row>
    <row r="136" spans="1:23" ht="14.5" thickBot="1">
      <c r="A136" s="240"/>
      <c r="B136" s="244" t="s">
        <v>4</v>
      </c>
      <c r="C136" s="88">
        <v>5</v>
      </c>
      <c r="D136" s="61">
        <v>21.605614900000091</v>
      </c>
      <c r="E136" s="61">
        <v>7.2018716333333632</v>
      </c>
      <c r="F136" s="61">
        <v>138.85279423359469</v>
      </c>
      <c r="G136" s="61">
        <v>2.8096275252525253</v>
      </c>
      <c r="H136" s="61">
        <v>5.375</v>
      </c>
      <c r="I136" s="61">
        <v>6794.88671875</v>
      </c>
      <c r="J136" s="61">
        <v>6795.0386087436873</v>
      </c>
      <c r="K136" s="61">
        <v>6799.68359375</v>
      </c>
      <c r="L136" s="61">
        <v>0.15188999368729128</v>
      </c>
      <c r="M136" s="61">
        <v>4.796875</v>
      </c>
      <c r="N136" s="61">
        <v>3388.796875</v>
      </c>
      <c r="O136" s="61">
        <v>3408.615056818182</v>
      </c>
      <c r="P136" s="61">
        <v>3412.796875</v>
      </c>
      <c r="Q136" s="61">
        <v>19.818181818181984</v>
      </c>
      <c r="R136" s="61">
        <v>24</v>
      </c>
      <c r="S136" s="61">
        <v>30.777777777777779</v>
      </c>
      <c r="T136" s="61">
        <v>78</v>
      </c>
      <c r="U136" s="61">
        <v>14.346782828282828</v>
      </c>
      <c r="V136" s="61">
        <v>39.411999999999999</v>
      </c>
      <c r="W136" s="68">
        <v>8.6587255340388275E-2</v>
      </c>
    </row>
    <row r="137" spans="1:23">
      <c r="A137" s="240"/>
      <c r="B137" s="246" t="s">
        <v>5</v>
      </c>
      <c r="C137" s="87">
        <v>1</v>
      </c>
      <c r="D137" s="62">
        <v>18.08668160000002</v>
      </c>
      <c r="E137" s="62">
        <v>7.3077501414141492</v>
      </c>
      <c r="F137" s="62">
        <v>136.84102229123098</v>
      </c>
      <c r="G137" s="62">
        <v>2.7310052710843373</v>
      </c>
      <c r="H137" s="62">
        <v>5.8250000000000002</v>
      </c>
      <c r="I137" s="62">
        <v>5780.05078125</v>
      </c>
      <c r="J137" s="62">
        <v>5780.2398108057232</v>
      </c>
      <c r="K137" s="62">
        <v>5780.2421875</v>
      </c>
      <c r="L137" s="62">
        <v>0.18902955572320934</v>
      </c>
      <c r="M137" s="62">
        <v>0.19140625</v>
      </c>
      <c r="N137" s="62">
        <v>3544.22265625</v>
      </c>
      <c r="O137" s="62">
        <v>3563.8973550451806</v>
      </c>
      <c r="P137" s="62">
        <v>3570.22265625</v>
      </c>
      <c r="Q137" s="62">
        <v>19.674698795180575</v>
      </c>
      <c r="R137" s="62">
        <v>26</v>
      </c>
      <c r="S137" s="62">
        <v>33.795180722891565</v>
      </c>
      <c r="T137" s="62">
        <v>79</v>
      </c>
      <c r="U137" s="62">
        <v>16.013891566265059</v>
      </c>
      <c r="V137" s="62">
        <v>41.03</v>
      </c>
      <c r="W137" s="67">
        <v>8.1058075678000108E-2</v>
      </c>
    </row>
    <row r="138" spans="1:23">
      <c r="A138" s="240"/>
      <c r="B138" s="245" t="s">
        <v>5</v>
      </c>
      <c r="C138" s="88">
        <v>2</v>
      </c>
      <c r="D138" s="61">
        <v>17.86640680000005</v>
      </c>
      <c r="E138" s="61">
        <v>7.2187502222222424</v>
      </c>
      <c r="F138" s="61">
        <v>138.5281342636838</v>
      </c>
      <c r="G138" s="61">
        <v>2.7421121987951804</v>
      </c>
      <c r="H138" s="61">
        <v>5.7718749999999996</v>
      </c>
      <c r="I138" s="61">
        <v>5780.640625</v>
      </c>
      <c r="J138" s="61">
        <v>5780.7594832454815</v>
      </c>
      <c r="K138" s="61">
        <v>5781.9765625</v>
      </c>
      <c r="L138" s="61">
        <v>0.11885824548153323</v>
      </c>
      <c r="M138" s="61">
        <v>1.3359375</v>
      </c>
      <c r="N138" s="61">
        <v>3544.22265625</v>
      </c>
      <c r="O138" s="61">
        <v>3563.8973550451806</v>
      </c>
      <c r="P138" s="61">
        <v>3570.22265625</v>
      </c>
      <c r="Q138" s="61">
        <v>19.674698795180575</v>
      </c>
      <c r="R138" s="61">
        <v>26</v>
      </c>
      <c r="S138" s="61">
        <v>34.283132530120483</v>
      </c>
      <c r="T138" s="61">
        <v>99</v>
      </c>
      <c r="U138" s="61">
        <v>16.163975903614457</v>
      </c>
      <c r="V138" s="61">
        <v>56.265999999999998</v>
      </c>
      <c r="W138" s="68">
        <v>8.0863909675583504E-2</v>
      </c>
    </row>
    <row r="139" spans="1:23">
      <c r="A139" s="240"/>
      <c r="B139" s="245" t="s">
        <v>5</v>
      </c>
      <c r="C139" s="87">
        <v>3</v>
      </c>
      <c r="D139" s="62">
        <v>19.492140800000016</v>
      </c>
      <c r="E139" s="62">
        <v>7.8756124444444504</v>
      </c>
      <c r="F139" s="62">
        <v>126.9742521047251</v>
      </c>
      <c r="G139" s="62">
        <v>2.8537983425414373</v>
      </c>
      <c r="H139" s="62">
        <v>6.7531249999999998</v>
      </c>
      <c r="I139" s="62">
        <v>5780.65625</v>
      </c>
      <c r="J139" s="62">
        <v>5780.7808183701654</v>
      </c>
      <c r="K139" s="62">
        <v>5783.61328125</v>
      </c>
      <c r="L139" s="62">
        <v>0.12456837016543432</v>
      </c>
      <c r="M139" s="62">
        <v>2.95703125</v>
      </c>
      <c r="N139" s="62">
        <v>3544.22265625</v>
      </c>
      <c r="O139" s="62">
        <v>3563.9243137085637</v>
      </c>
      <c r="P139" s="62">
        <v>3570.22265625</v>
      </c>
      <c r="Q139" s="62">
        <v>19.701657458563659</v>
      </c>
      <c r="R139" s="62">
        <v>26</v>
      </c>
      <c r="S139" s="62">
        <v>32.303867403314918</v>
      </c>
      <c r="T139" s="62">
        <v>100</v>
      </c>
      <c r="U139" s="62">
        <v>15.737817679558011</v>
      </c>
      <c r="V139" s="62">
        <v>30.231000000000002</v>
      </c>
      <c r="W139" s="67">
        <v>8.5845009242652537E-2</v>
      </c>
    </row>
    <row r="140" spans="1:23">
      <c r="A140" s="240"/>
      <c r="B140" s="245" t="s">
        <v>5</v>
      </c>
      <c r="C140" s="88">
        <v>4</v>
      </c>
      <c r="D140" s="61">
        <v>18.435141600000065</v>
      </c>
      <c r="E140" s="61">
        <v>7.448542060606087</v>
      </c>
      <c r="F140" s="61">
        <v>134.2544610560513</v>
      </c>
      <c r="G140" s="61">
        <v>2.7769970414201182</v>
      </c>
      <c r="H140" s="61">
        <v>5.328125</v>
      </c>
      <c r="I140" s="61">
        <v>5780.65234375</v>
      </c>
      <c r="J140" s="61">
        <v>5780.7934541420118</v>
      </c>
      <c r="K140" s="61">
        <v>5783.72265625</v>
      </c>
      <c r="L140" s="61">
        <v>0.14111039201179665</v>
      </c>
      <c r="M140" s="61">
        <v>3.0703125</v>
      </c>
      <c r="N140" s="61">
        <v>3544.22265625</v>
      </c>
      <c r="O140" s="61">
        <v>3563.9031296227809</v>
      </c>
      <c r="P140" s="61">
        <v>3570.22265625</v>
      </c>
      <c r="Q140" s="61">
        <v>19.680473372780853</v>
      </c>
      <c r="R140" s="61">
        <v>26</v>
      </c>
      <c r="S140" s="61">
        <v>33.692307692307693</v>
      </c>
      <c r="T140" s="61">
        <v>100</v>
      </c>
      <c r="U140" s="61">
        <v>15.61956804733728</v>
      </c>
      <c r="V140" s="61">
        <v>33.941000000000003</v>
      </c>
      <c r="W140" s="68">
        <v>8.0753979289583375E-2</v>
      </c>
    </row>
    <row r="141" spans="1:23" ht="14.5" thickBot="1">
      <c r="A141" s="241"/>
      <c r="B141" s="247" t="s">
        <v>5</v>
      </c>
      <c r="C141" s="89">
        <v>5</v>
      </c>
      <c r="D141" s="74">
        <v>19.213276500000006</v>
      </c>
      <c r="E141" s="74">
        <v>7.7629400000000031</v>
      </c>
      <c r="F141" s="74">
        <v>128.81717493629986</v>
      </c>
      <c r="G141" s="74">
        <v>2.7911016949152541</v>
      </c>
      <c r="H141" s="74">
        <v>5.375</v>
      </c>
      <c r="I141" s="74">
        <v>5780.72265625</v>
      </c>
      <c r="J141" s="74">
        <v>5780.9342778954806</v>
      </c>
      <c r="K141" s="74">
        <v>5785.51953125</v>
      </c>
      <c r="L141" s="74">
        <v>0.21162164548059081</v>
      </c>
      <c r="M141" s="74">
        <v>4.796875</v>
      </c>
      <c r="N141" s="74">
        <v>3544.22265625</v>
      </c>
      <c r="O141" s="74">
        <v>3563.9175715042375</v>
      </c>
      <c r="P141" s="74">
        <v>3570.22265625</v>
      </c>
      <c r="Q141" s="74">
        <v>19.694915254237458</v>
      </c>
      <c r="R141" s="74">
        <v>26</v>
      </c>
      <c r="S141" s="74">
        <v>32.141242937853107</v>
      </c>
      <c r="T141" s="74">
        <v>75</v>
      </c>
      <c r="U141" s="74">
        <v>15.477446327683614</v>
      </c>
      <c r="V141" s="74">
        <v>35.902000000000001</v>
      </c>
      <c r="W141" s="75">
        <v>8.3209434420791317E-2</v>
      </c>
    </row>
    <row r="142" spans="1:23">
      <c r="A142" s="239" t="s">
        <v>79</v>
      </c>
      <c r="B142" s="242" t="s">
        <v>2</v>
      </c>
      <c r="C142" s="86">
        <v>1</v>
      </c>
      <c r="D142" s="65">
        <v>28.973517099999299</v>
      </c>
      <c r="E142" s="65">
        <v>1.6096398388888498</v>
      </c>
      <c r="F142" s="65">
        <v>621.25698919722925</v>
      </c>
      <c r="G142" s="65">
        <v>5.0812382958801505</v>
      </c>
      <c r="H142" s="65">
        <v>14.7</v>
      </c>
      <c r="I142" s="65">
        <v>1021.87890625</v>
      </c>
      <c r="J142" s="65">
        <v>1678.9483116807116</v>
      </c>
      <c r="K142" s="65">
        <v>2286.29296875</v>
      </c>
      <c r="L142" s="65">
        <v>657.06940543071164</v>
      </c>
      <c r="M142" s="65">
        <v>1264.4140625</v>
      </c>
      <c r="N142" s="65">
        <v>2723.4296875</v>
      </c>
      <c r="O142" s="65">
        <v>2723.4296875</v>
      </c>
      <c r="P142" s="65">
        <v>2723.4296875</v>
      </c>
      <c r="Q142" s="65">
        <v>0</v>
      </c>
      <c r="R142" s="65">
        <v>0</v>
      </c>
      <c r="S142" s="65">
        <v>69.988764044943821</v>
      </c>
      <c r="T142" s="65">
        <v>96</v>
      </c>
      <c r="U142" s="65">
        <v>52.260591760299626</v>
      </c>
      <c r="V142" s="65">
        <v>75.435000000000002</v>
      </c>
      <c r="W142" s="66">
        <v>0.42268496585728094</v>
      </c>
    </row>
    <row r="143" spans="1:23">
      <c r="A143" s="240"/>
      <c r="B143" s="243" t="s">
        <v>2</v>
      </c>
      <c r="C143" s="87">
        <v>2</v>
      </c>
      <c r="D143" s="62">
        <v>24.669857000000775</v>
      </c>
      <c r="E143" s="62">
        <v>1.3705476111111543</v>
      </c>
      <c r="F143" s="62">
        <v>729.63536026979943</v>
      </c>
      <c r="G143" s="62">
        <v>4.9275833333333328</v>
      </c>
      <c r="H143" s="62">
        <v>12.990625</v>
      </c>
      <c r="I143" s="62">
        <v>2286.95703125</v>
      </c>
      <c r="J143" s="62">
        <v>2287.4506944444443</v>
      </c>
      <c r="K143" s="62">
        <v>2291.79296875</v>
      </c>
      <c r="L143" s="62">
        <v>0.49366319444425244</v>
      </c>
      <c r="M143" s="62">
        <v>4.8359375</v>
      </c>
      <c r="N143" s="62">
        <v>2723.4296875</v>
      </c>
      <c r="O143" s="62">
        <v>2723.4296875</v>
      </c>
      <c r="P143" s="62">
        <v>2723.4296875</v>
      </c>
      <c r="Q143" s="62">
        <v>0</v>
      </c>
      <c r="R143" s="62">
        <v>0</v>
      </c>
      <c r="S143" s="62">
        <v>86.977777777777774</v>
      </c>
      <c r="T143" s="62">
        <v>100</v>
      </c>
      <c r="U143" s="62">
        <v>53.614942222222226</v>
      </c>
      <c r="V143" s="62">
        <v>116.9</v>
      </c>
      <c r="W143" s="67">
        <v>0.370140978933234</v>
      </c>
    </row>
    <row r="144" spans="1:23">
      <c r="A144" s="240"/>
      <c r="B144" s="243" t="s">
        <v>2</v>
      </c>
      <c r="C144" s="88">
        <v>3</v>
      </c>
      <c r="D144" s="61">
        <v>23.939050999999381</v>
      </c>
      <c r="E144" s="61">
        <v>1.3299472777777435</v>
      </c>
      <c r="F144" s="61">
        <v>751.90950551884725</v>
      </c>
      <c r="G144" s="61">
        <v>5.2529545454545454</v>
      </c>
      <c r="H144" s="61">
        <v>15.09375</v>
      </c>
      <c r="I144" s="61">
        <v>2287.046875</v>
      </c>
      <c r="J144" s="61">
        <v>2287.6909090909089</v>
      </c>
      <c r="K144" s="61">
        <v>2292.15234375</v>
      </c>
      <c r="L144" s="61">
        <v>0.64403409090891728</v>
      </c>
      <c r="M144" s="61">
        <v>5.10546875</v>
      </c>
      <c r="N144" s="61">
        <v>2723.4296875</v>
      </c>
      <c r="O144" s="61">
        <v>2723.4296875</v>
      </c>
      <c r="P144" s="61">
        <v>2723.4296875</v>
      </c>
      <c r="Q144" s="61">
        <v>0</v>
      </c>
      <c r="R144" s="61">
        <v>0</v>
      </c>
      <c r="S144" s="61">
        <v>91.9</v>
      </c>
      <c r="T144" s="61">
        <v>100</v>
      </c>
      <c r="U144" s="61">
        <v>53.39406363636364</v>
      </c>
      <c r="V144" s="61">
        <v>97.468999999999994</v>
      </c>
      <c r="W144" s="68">
        <v>0.3575742008417318</v>
      </c>
    </row>
    <row r="145" spans="1:23">
      <c r="A145" s="240"/>
      <c r="B145" s="243" t="s">
        <v>2</v>
      </c>
      <c r="C145" s="87">
        <v>4</v>
      </c>
      <c r="D145" s="62">
        <v>51.610222499999509</v>
      </c>
      <c r="E145" s="62">
        <v>2.8672345833333059</v>
      </c>
      <c r="F145" s="62">
        <v>348.76811468891015</v>
      </c>
      <c r="G145" s="62">
        <v>4.2684501599147122</v>
      </c>
      <c r="H145" s="62">
        <v>12.990625</v>
      </c>
      <c r="I145" s="62">
        <v>2287.38671875</v>
      </c>
      <c r="J145" s="62">
        <v>2287.8912579957355</v>
      </c>
      <c r="K145" s="62">
        <v>2292.47265625</v>
      </c>
      <c r="L145" s="62">
        <v>0.50453924573548647</v>
      </c>
      <c r="M145" s="62">
        <v>5.0859375</v>
      </c>
      <c r="N145" s="62">
        <v>2723.4296875</v>
      </c>
      <c r="O145" s="62">
        <v>2723.4296875</v>
      </c>
      <c r="P145" s="62">
        <v>2723.4296875</v>
      </c>
      <c r="Q145" s="62">
        <v>0</v>
      </c>
      <c r="R145" s="62">
        <v>0</v>
      </c>
      <c r="S145" s="62">
        <v>43.368869936034116</v>
      </c>
      <c r="T145" s="62">
        <v>100</v>
      </c>
      <c r="U145" s="62">
        <v>38.396496801705759</v>
      </c>
      <c r="V145" s="62">
        <v>120.998</v>
      </c>
      <c r="W145" s="67">
        <v>0.55237853625080846</v>
      </c>
    </row>
    <row r="146" spans="1:23" ht="14.5" thickBot="1">
      <c r="A146" s="240"/>
      <c r="B146" s="244" t="s">
        <v>2</v>
      </c>
      <c r="C146" s="88">
        <v>5</v>
      </c>
      <c r="D146" s="61">
        <v>37.621313100000407</v>
      </c>
      <c r="E146" s="61">
        <v>2.0900729500000228</v>
      </c>
      <c r="F146" s="61">
        <v>478.45219947944361</v>
      </c>
      <c r="G146" s="61">
        <v>4.6267146017699119</v>
      </c>
      <c r="H146" s="61">
        <v>12.543749999999999</v>
      </c>
      <c r="I146" s="61">
        <v>2287.859375</v>
      </c>
      <c r="J146" s="61">
        <v>2288.2307568215338</v>
      </c>
      <c r="K146" s="61">
        <v>2292.79296875</v>
      </c>
      <c r="L146" s="61">
        <v>0.37138182153375965</v>
      </c>
      <c r="M146" s="61">
        <v>4.93359375</v>
      </c>
      <c r="N146" s="61">
        <v>2723.4296875</v>
      </c>
      <c r="O146" s="61">
        <v>2723.4296875</v>
      </c>
      <c r="P146" s="61">
        <v>2723.4296875</v>
      </c>
      <c r="Q146" s="61">
        <v>0</v>
      </c>
      <c r="R146" s="61">
        <v>0</v>
      </c>
      <c r="S146" s="61">
        <v>50.902654867256636</v>
      </c>
      <c r="T146" s="61">
        <v>100</v>
      </c>
      <c r="U146" s="61">
        <v>54.460477876106189</v>
      </c>
      <c r="V146" s="61">
        <v>117.078</v>
      </c>
      <c r="W146" s="68">
        <v>0.5740420784544259</v>
      </c>
    </row>
    <row r="147" spans="1:23">
      <c r="A147" s="240"/>
      <c r="B147" s="245" t="s">
        <v>3</v>
      </c>
      <c r="C147" s="87">
        <v>1</v>
      </c>
      <c r="D147" s="62">
        <v>10.277845400000047</v>
      </c>
      <c r="E147" s="62">
        <v>1.7241814125146864</v>
      </c>
      <c r="F147" s="62">
        <v>579.98537319893649</v>
      </c>
      <c r="G147" s="62">
        <v>4.7572697368421064</v>
      </c>
      <c r="H147" s="62">
        <v>12.543749999999999</v>
      </c>
      <c r="I147" s="62">
        <v>7523.5390625</v>
      </c>
      <c r="J147" s="62">
        <v>7524.1552631578943</v>
      </c>
      <c r="K147" s="62">
        <v>7528.51953125</v>
      </c>
      <c r="L147" s="62">
        <v>0.61620065789429646</v>
      </c>
      <c r="M147" s="62">
        <v>4.98046875</v>
      </c>
      <c r="N147" s="62">
        <v>2603.2578125</v>
      </c>
      <c r="O147" s="62">
        <v>2615.0051809210527</v>
      </c>
      <c r="P147" s="62">
        <v>2615.2578125</v>
      </c>
      <c r="Q147" s="62">
        <v>11.74736842105267</v>
      </c>
      <c r="R147" s="62">
        <v>12</v>
      </c>
      <c r="S147" s="62">
        <v>62.684210526315788</v>
      </c>
      <c r="T147" s="62">
        <v>93</v>
      </c>
      <c r="U147" s="62">
        <v>52.226378947368417</v>
      </c>
      <c r="V147" s="62">
        <v>104.051</v>
      </c>
      <c r="W147" s="67">
        <v>0.15127917503001381</v>
      </c>
    </row>
    <row r="148" spans="1:23">
      <c r="A148" s="240"/>
      <c r="B148" s="245" t="s">
        <v>3</v>
      </c>
      <c r="C148" s="88">
        <v>2</v>
      </c>
      <c r="D148" s="61">
        <v>9.4077020999999377</v>
      </c>
      <c r="E148" s="61">
        <v>1.578208706592843</v>
      </c>
      <c r="F148" s="61">
        <v>633.62975747287317</v>
      </c>
      <c r="G148" s="61">
        <v>4.7945402298850572</v>
      </c>
      <c r="H148" s="61">
        <v>9.375</v>
      </c>
      <c r="I148" s="61">
        <v>7523.92578125</v>
      </c>
      <c r="J148" s="61">
        <v>7524.2602819683907</v>
      </c>
      <c r="K148" s="61">
        <v>7528.8046875</v>
      </c>
      <c r="L148" s="61">
        <v>0.33450071839070006</v>
      </c>
      <c r="M148" s="61">
        <v>4.87890625</v>
      </c>
      <c r="N148" s="61">
        <v>2615.2578125</v>
      </c>
      <c r="O148" s="61">
        <v>2615.2578125</v>
      </c>
      <c r="P148" s="61">
        <v>2615.2578125</v>
      </c>
      <c r="Q148" s="61">
        <v>0</v>
      </c>
      <c r="R148" s="61">
        <v>0</v>
      </c>
      <c r="S148" s="61">
        <v>68.379310344827587</v>
      </c>
      <c r="T148" s="61">
        <v>99</v>
      </c>
      <c r="U148" s="61">
        <v>55.708793103448286</v>
      </c>
      <c r="V148" s="61">
        <v>89.638999999999996</v>
      </c>
      <c r="W148" s="68">
        <v>0.14789939304191529</v>
      </c>
    </row>
    <row r="149" spans="1:23">
      <c r="A149" s="240"/>
      <c r="B149" s="245" t="s">
        <v>3</v>
      </c>
      <c r="C149" s="87">
        <v>3</v>
      </c>
      <c r="D149" s="62">
        <v>9.3922468999999182</v>
      </c>
      <c r="E149" s="62">
        <v>1.5756159872504476</v>
      </c>
      <c r="F149" s="62">
        <v>634.67241262578523</v>
      </c>
      <c r="G149" s="62">
        <v>4.8106681034482754</v>
      </c>
      <c r="H149" s="62">
        <v>11.096875000000001</v>
      </c>
      <c r="I149" s="62">
        <v>7524.04296875</v>
      </c>
      <c r="J149" s="62">
        <v>7524.4605783045981</v>
      </c>
      <c r="K149" s="62">
        <v>7528.84765625</v>
      </c>
      <c r="L149" s="62">
        <v>0.41760955459812976</v>
      </c>
      <c r="M149" s="62">
        <v>4.8046875</v>
      </c>
      <c r="N149" s="62">
        <v>2603.2578125</v>
      </c>
      <c r="O149" s="62">
        <v>2614.9819504310344</v>
      </c>
      <c r="P149" s="62">
        <v>2615.2578125</v>
      </c>
      <c r="Q149" s="62">
        <v>11.72413793103442</v>
      </c>
      <c r="R149" s="62">
        <v>12</v>
      </c>
      <c r="S149" s="62">
        <v>68.321839080459768</v>
      </c>
      <c r="T149" s="62">
        <v>100</v>
      </c>
      <c r="U149" s="62">
        <v>54.7262988505747</v>
      </c>
      <c r="V149" s="62">
        <v>98.478999999999999</v>
      </c>
      <c r="W149" s="67">
        <v>0.14475657596045874</v>
      </c>
    </row>
    <row r="150" spans="1:23">
      <c r="A150" s="240"/>
      <c r="B150" s="245" t="s">
        <v>3</v>
      </c>
      <c r="C150" s="88">
        <v>4</v>
      </c>
      <c r="D150" s="61">
        <v>9.5608216999999058</v>
      </c>
      <c r="E150" s="61">
        <v>1.6038956047642854</v>
      </c>
      <c r="F150" s="61">
        <v>623.48197540385661</v>
      </c>
      <c r="G150" s="61">
        <v>4.6067064606741575</v>
      </c>
      <c r="H150" s="61">
        <v>12.543749999999999</v>
      </c>
      <c r="I150" s="61">
        <v>7524.05859375</v>
      </c>
      <c r="J150" s="61">
        <v>7524.8199174859546</v>
      </c>
      <c r="K150" s="61">
        <v>7529.16015625</v>
      </c>
      <c r="L150" s="61">
        <v>0.76132373595464742</v>
      </c>
      <c r="M150" s="61">
        <v>5.1015625</v>
      </c>
      <c r="N150" s="61">
        <v>2615.2578125</v>
      </c>
      <c r="O150" s="61">
        <v>2615.2578125</v>
      </c>
      <c r="P150" s="61">
        <v>2615.2578125</v>
      </c>
      <c r="Q150" s="61">
        <v>0</v>
      </c>
      <c r="R150" s="61">
        <v>0</v>
      </c>
      <c r="S150" s="61">
        <v>67.966292134831463</v>
      </c>
      <c r="T150" s="61">
        <v>100</v>
      </c>
      <c r="U150" s="61">
        <v>54.337191011235959</v>
      </c>
      <c r="V150" s="61">
        <v>116.988</v>
      </c>
      <c r="W150" s="68">
        <v>0.14752747498595897</v>
      </c>
    </row>
    <row r="151" spans="1:23" ht="14.5" thickBot="1">
      <c r="A151" s="240"/>
      <c r="B151" s="245" t="s">
        <v>3</v>
      </c>
      <c r="C151" s="87">
        <v>5</v>
      </c>
      <c r="D151" s="62">
        <v>10.309237799999892</v>
      </c>
      <c r="E151" s="62">
        <v>1.7294477101157344</v>
      </c>
      <c r="F151" s="62">
        <v>578.21927436769988</v>
      </c>
      <c r="G151" s="62">
        <v>4.6672697368421057</v>
      </c>
      <c r="H151" s="62">
        <v>10.75</v>
      </c>
      <c r="I151" s="62">
        <v>7524.3671875</v>
      </c>
      <c r="J151" s="62">
        <v>7524.6743832236843</v>
      </c>
      <c r="K151" s="62">
        <v>7528.609375</v>
      </c>
      <c r="L151" s="62">
        <v>0.30719572368434456</v>
      </c>
      <c r="M151" s="62">
        <v>4.2421875</v>
      </c>
      <c r="N151" s="62">
        <v>2603.2578125</v>
      </c>
      <c r="O151" s="62">
        <v>2615.0051809210527</v>
      </c>
      <c r="P151" s="62">
        <v>2615.2578125</v>
      </c>
      <c r="Q151" s="62">
        <v>11.74736842105267</v>
      </c>
      <c r="R151" s="62">
        <v>12</v>
      </c>
      <c r="S151" s="62">
        <v>59.852631578947367</v>
      </c>
      <c r="T151" s="62">
        <v>100</v>
      </c>
      <c r="U151" s="62">
        <v>57.234157894736832</v>
      </c>
      <c r="V151" s="62">
        <v>98.983999999999995</v>
      </c>
      <c r="W151" s="67">
        <v>0.16639098038548597</v>
      </c>
    </row>
    <row r="152" spans="1:23">
      <c r="A152" s="240"/>
      <c r="B152" s="242" t="s">
        <v>4</v>
      </c>
      <c r="C152" s="88">
        <v>1</v>
      </c>
      <c r="D152" s="61">
        <v>5.1449877000000015</v>
      </c>
      <c r="E152" s="61">
        <v>1.7149959000000006</v>
      </c>
      <c r="F152" s="61">
        <v>583.09177298907809</v>
      </c>
      <c r="G152" s="61">
        <v>5.3477678571428564</v>
      </c>
      <c r="H152" s="61">
        <v>12.09375</v>
      </c>
      <c r="I152" s="61">
        <v>6879.8515625</v>
      </c>
      <c r="J152" s="61">
        <v>6880.1096141581629</v>
      </c>
      <c r="K152" s="61">
        <v>6884.16015625</v>
      </c>
      <c r="L152" s="61">
        <v>0.25805165816291264</v>
      </c>
      <c r="M152" s="61">
        <v>4.30859375</v>
      </c>
      <c r="N152" s="61">
        <v>2603.2578125</v>
      </c>
      <c r="O152" s="61">
        <v>2615.0129145408164</v>
      </c>
      <c r="P152" s="61">
        <v>2627.2578125</v>
      </c>
      <c r="Q152" s="61">
        <v>11.755102040816382</v>
      </c>
      <c r="R152" s="61">
        <v>24</v>
      </c>
      <c r="S152" s="61">
        <v>62.510204081632651</v>
      </c>
      <c r="T152" s="61">
        <v>98</v>
      </c>
      <c r="U152" s="61">
        <v>51.326775510204072</v>
      </c>
      <c r="V152" s="61">
        <v>81.647999999999996</v>
      </c>
      <c r="W152" s="68">
        <v>7.6246329206541619E-2</v>
      </c>
    </row>
    <row r="153" spans="1:23">
      <c r="A153" s="240"/>
      <c r="B153" s="243" t="s">
        <v>4</v>
      </c>
      <c r="C153" s="87">
        <v>2</v>
      </c>
      <c r="D153" s="62">
        <v>5.384603200000015</v>
      </c>
      <c r="E153" s="62">
        <v>1.7948677333333385</v>
      </c>
      <c r="F153" s="62">
        <v>557.14411788040229</v>
      </c>
      <c r="G153" s="62">
        <v>4.9690563725490193</v>
      </c>
      <c r="H153" s="62">
        <v>11.2</v>
      </c>
      <c r="I153" s="62">
        <v>6880.1171875</v>
      </c>
      <c r="J153" s="62">
        <v>6880.5134037990192</v>
      </c>
      <c r="K153" s="62">
        <v>6884.921875</v>
      </c>
      <c r="L153" s="62">
        <v>0.39621629901921551</v>
      </c>
      <c r="M153" s="62">
        <v>4.8046875</v>
      </c>
      <c r="N153" s="62">
        <v>2603.2578125</v>
      </c>
      <c r="O153" s="62">
        <v>2615.0225183823532</v>
      </c>
      <c r="P153" s="62">
        <v>2627.2578125</v>
      </c>
      <c r="Q153" s="62">
        <v>11.764705882353155</v>
      </c>
      <c r="R153" s="62">
        <v>24</v>
      </c>
      <c r="S153" s="62">
        <v>60.313725490196077</v>
      </c>
      <c r="T153" s="62">
        <v>99</v>
      </c>
      <c r="U153" s="62">
        <v>47.668196078431365</v>
      </c>
      <c r="V153" s="62">
        <v>101.309</v>
      </c>
      <c r="W153" s="67">
        <v>7.3280864665194081E-2</v>
      </c>
    </row>
    <row r="154" spans="1:23">
      <c r="A154" s="240"/>
      <c r="B154" s="243" t="s">
        <v>4</v>
      </c>
      <c r="C154" s="88">
        <v>3</v>
      </c>
      <c r="D154" s="61">
        <v>4.4607699999999681</v>
      </c>
      <c r="E154" s="61">
        <v>1.4869233333333227</v>
      </c>
      <c r="F154" s="61">
        <v>672.52963053464339</v>
      </c>
      <c r="G154" s="61">
        <v>4.6916424418604654</v>
      </c>
      <c r="H154" s="61">
        <v>12.6</v>
      </c>
      <c r="I154" s="61">
        <v>6880.1328125</v>
      </c>
      <c r="J154" s="61">
        <v>6880.4542151162786</v>
      </c>
      <c r="K154" s="61">
        <v>6884.9296875</v>
      </c>
      <c r="L154" s="61">
        <v>0.32140261627864675</v>
      </c>
      <c r="M154" s="61">
        <v>4.796875</v>
      </c>
      <c r="N154" s="61">
        <v>2603.2578125</v>
      </c>
      <c r="O154" s="61">
        <v>2614.9787427325582</v>
      </c>
      <c r="P154" s="61">
        <v>2627.2578125</v>
      </c>
      <c r="Q154" s="61">
        <v>11.720930232558203</v>
      </c>
      <c r="R154" s="61">
        <v>24</v>
      </c>
      <c r="S154" s="61">
        <v>73.302325581395351</v>
      </c>
      <c r="T154" s="61">
        <v>98</v>
      </c>
      <c r="U154" s="61">
        <v>46.556209302325584</v>
      </c>
      <c r="V154" s="61">
        <v>83.254999999999995</v>
      </c>
      <c r="W154" s="68">
        <v>5.9547370810111439E-2</v>
      </c>
    </row>
    <row r="155" spans="1:23">
      <c r="A155" s="240"/>
      <c r="B155" s="243" t="s">
        <v>4</v>
      </c>
      <c r="C155" s="87">
        <v>4</v>
      </c>
      <c r="D155" s="62">
        <v>4.5154582999999775</v>
      </c>
      <c r="E155" s="62">
        <v>1.5051527666666593</v>
      </c>
      <c r="F155" s="62">
        <v>664.38438818048985</v>
      </c>
      <c r="G155" s="62">
        <v>4.0573863636363638</v>
      </c>
      <c r="H155" s="62">
        <v>7.9906249999999996</v>
      </c>
      <c r="I155" s="62">
        <v>6880.1640625</v>
      </c>
      <c r="J155" s="62">
        <v>6880.453480113636</v>
      </c>
      <c r="K155" s="62">
        <v>6882.93359375</v>
      </c>
      <c r="L155" s="62">
        <v>0.28941761363603291</v>
      </c>
      <c r="M155" s="62">
        <v>2.76953125</v>
      </c>
      <c r="N155" s="62">
        <v>2603.2578125</v>
      </c>
      <c r="O155" s="62">
        <v>2614.9850852272725</v>
      </c>
      <c r="P155" s="62">
        <v>2627.2578125</v>
      </c>
      <c r="Q155" s="62">
        <v>11.727272727272521</v>
      </c>
      <c r="R155" s="62">
        <v>24</v>
      </c>
      <c r="S155" s="62">
        <v>73.795454545454547</v>
      </c>
      <c r="T155" s="62">
        <v>100</v>
      </c>
      <c r="U155" s="62">
        <v>45.370795454545458</v>
      </c>
      <c r="V155" s="62">
        <v>81.617999999999995</v>
      </c>
      <c r="W155" s="67">
        <v>5.8623130189263649E-2</v>
      </c>
    </row>
    <row r="156" spans="1:23" ht="14.5" thickBot="1">
      <c r="A156" s="240"/>
      <c r="B156" s="244" t="s">
        <v>4</v>
      </c>
      <c r="C156" s="88">
        <v>5</v>
      </c>
      <c r="D156" s="61">
        <v>4.557681099999968</v>
      </c>
      <c r="E156" s="61">
        <v>1.5192270333333227</v>
      </c>
      <c r="F156" s="61">
        <v>658.22946673474394</v>
      </c>
      <c r="G156" s="61">
        <v>5.0544034090909093</v>
      </c>
      <c r="H156" s="61">
        <v>10.209375</v>
      </c>
      <c r="I156" s="61">
        <v>6880.171875</v>
      </c>
      <c r="J156" s="61">
        <v>6880.403053977273</v>
      </c>
      <c r="K156" s="61">
        <v>6883.53125</v>
      </c>
      <c r="L156" s="61">
        <v>0.23117897727297532</v>
      </c>
      <c r="M156" s="61">
        <v>3.359375</v>
      </c>
      <c r="N156" s="61">
        <v>2603.2578125</v>
      </c>
      <c r="O156" s="61">
        <v>2614.9850852272725</v>
      </c>
      <c r="P156" s="61">
        <v>2627.2578125</v>
      </c>
      <c r="Q156" s="61">
        <v>11.727272727272521</v>
      </c>
      <c r="R156" s="61">
        <v>24</v>
      </c>
      <c r="S156" s="61">
        <v>70.295454545454547</v>
      </c>
      <c r="T156" s="61">
        <v>95</v>
      </c>
      <c r="U156" s="61">
        <v>53.574227272727278</v>
      </c>
      <c r="V156" s="61">
        <v>119.464</v>
      </c>
      <c r="W156" s="68">
        <v>6.9272747944569099E-2</v>
      </c>
    </row>
    <row r="157" spans="1:23">
      <c r="A157" s="240"/>
      <c r="B157" s="246" t="s">
        <v>5</v>
      </c>
      <c r="C157" s="87">
        <v>1</v>
      </c>
      <c r="D157" s="62">
        <v>4.2929009000000065</v>
      </c>
      <c r="E157" s="62">
        <v>1.7345054141414169</v>
      </c>
      <c r="F157" s="62">
        <v>576.53322488762694</v>
      </c>
      <c r="G157" s="62">
        <v>4.4706101190476186</v>
      </c>
      <c r="H157" s="62">
        <v>11.2</v>
      </c>
      <c r="I157" s="62">
        <v>5803.8984375</v>
      </c>
      <c r="J157" s="62">
        <v>5804.0973772321431</v>
      </c>
      <c r="K157" s="62">
        <v>5804.10546875</v>
      </c>
      <c r="L157" s="62">
        <v>0.198939732143117</v>
      </c>
      <c r="M157" s="62">
        <v>0.20703125</v>
      </c>
      <c r="N157" s="62">
        <v>2603.2578125</v>
      </c>
      <c r="O157" s="62">
        <v>2614.6863839285716</v>
      </c>
      <c r="P157" s="62">
        <v>2615.2578125</v>
      </c>
      <c r="Q157" s="62">
        <v>11.428571428571558</v>
      </c>
      <c r="R157" s="62">
        <v>12</v>
      </c>
      <c r="S157" s="62">
        <v>60.452380952380949</v>
      </c>
      <c r="T157" s="62">
        <v>92</v>
      </c>
      <c r="U157" s="62">
        <v>46.577666666666673</v>
      </c>
      <c r="V157" s="62">
        <v>92.527000000000001</v>
      </c>
      <c r="W157" s="67">
        <v>5.7367696054903293E-2</v>
      </c>
    </row>
    <row r="158" spans="1:23">
      <c r="A158" s="240"/>
      <c r="B158" s="245" t="s">
        <v>5</v>
      </c>
      <c r="C158" s="88">
        <v>2</v>
      </c>
      <c r="D158" s="61">
        <v>3.7277139999999918</v>
      </c>
      <c r="E158" s="61">
        <v>1.5061470707070674</v>
      </c>
      <c r="F158" s="61">
        <v>663.94578554041573</v>
      </c>
      <c r="G158" s="61">
        <v>4.6868055555555559</v>
      </c>
      <c r="H158" s="61">
        <v>9.40625</v>
      </c>
      <c r="I158" s="61">
        <v>5804.19921875</v>
      </c>
      <c r="J158" s="61">
        <v>5804.7412109375</v>
      </c>
      <c r="K158" s="61">
        <v>5809.0859375</v>
      </c>
      <c r="L158" s="61">
        <v>0.5419921875</v>
      </c>
      <c r="M158" s="61">
        <v>4.88671875</v>
      </c>
      <c r="N158" s="61">
        <v>2615.2578125</v>
      </c>
      <c r="O158" s="61">
        <v>2615.2578125</v>
      </c>
      <c r="P158" s="61">
        <v>2615.2578125</v>
      </c>
      <c r="Q158" s="61">
        <v>0</v>
      </c>
      <c r="R158" s="61">
        <v>0</v>
      </c>
      <c r="S158" s="61">
        <v>67.722222222222229</v>
      </c>
      <c r="T158" s="61">
        <v>89</v>
      </c>
      <c r="U158" s="61">
        <v>45.386083333333346</v>
      </c>
      <c r="V158" s="61">
        <v>79.524000000000001</v>
      </c>
      <c r="W158" s="68">
        <v>4.8557146403888904E-2</v>
      </c>
    </row>
    <row r="159" spans="1:23">
      <c r="A159" s="240"/>
      <c r="B159" s="245" t="s">
        <v>5</v>
      </c>
      <c r="C159" s="87">
        <v>3</v>
      </c>
      <c r="D159" s="62">
        <v>4.0637055999999916</v>
      </c>
      <c r="E159" s="62">
        <v>1.641901252525249</v>
      </c>
      <c r="F159" s="62">
        <v>609.0500256711523</v>
      </c>
      <c r="G159" s="62">
        <v>4.5847861842105262</v>
      </c>
      <c r="H159" s="62">
        <v>8.8781250000000007</v>
      </c>
      <c r="I159" s="62">
        <v>5804.30859375</v>
      </c>
      <c r="J159" s="62">
        <v>5804.490028782895</v>
      </c>
      <c r="K159" s="62">
        <v>5806.2265625</v>
      </c>
      <c r="L159" s="62">
        <v>0.18143503289502405</v>
      </c>
      <c r="M159" s="62">
        <v>1.91796875</v>
      </c>
      <c r="N159" s="62">
        <v>2603.2578125</v>
      </c>
      <c r="O159" s="62">
        <v>2614.6262335526317</v>
      </c>
      <c r="P159" s="62">
        <v>2615.2578125</v>
      </c>
      <c r="Q159" s="62">
        <v>11.368421052631675</v>
      </c>
      <c r="R159" s="62">
        <v>12</v>
      </c>
      <c r="S159" s="62">
        <v>63.473684210526315</v>
      </c>
      <c r="T159" s="62">
        <v>100</v>
      </c>
      <c r="U159" s="62">
        <v>47.917289473684207</v>
      </c>
      <c r="V159" s="62">
        <v>75.823999999999998</v>
      </c>
      <c r="W159" s="67">
        <v>5.6331920198610476E-2</v>
      </c>
    </row>
    <row r="160" spans="1:23">
      <c r="A160" s="240"/>
      <c r="B160" s="245" t="s">
        <v>5</v>
      </c>
      <c r="C160" s="88">
        <v>4</v>
      </c>
      <c r="D160" s="61">
        <v>3.9896777000000156</v>
      </c>
      <c r="E160" s="61">
        <v>1.6119909898989964</v>
      </c>
      <c r="F160" s="61">
        <v>620.35086192551103</v>
      </c>
      <c r="G160" s="61">
        <v>3.9266826923076916</v>
      </c>
      <c r="H160" s="61">
        <v>8.5124999999999993</v>
      </c>
      <c r="I160" s="61">
        <v>5804.3515625</v>
      </c>
      <c r="J160" s="61">
        <v>5804.6313100961543</v>
      </c>
      <c r="K160" s="61">
        <v>5808.69140625</v>
      </c>
      <c r="L160" s="61">
        <v>0.27974759615426592</v>
      </c>
      <c r="M160" s="61">
        <v>4.33984375</v>
      </c>
      <c r="N160" s="61">
        <v>2615.2578125</v>
      </c>
      <c r="O160" s="61">
        <v>2615.2578125</v>
      </c>
      <c r="P160" s="61">
        <v>2615.2578125</v>
      </c>
      <c r="Q160" s="61">
        <v>0</v>
      </c>
      <c r="R160" s="61">
        <v>0</v>
      </c>
      <c r="S160" s="61">
        <v>66.051282051282058</v>
      </c>
      <c r="T160" s="61">
        <v>100</v>
      </c>
      <c r="U160" s="61">
        <v>47.830410256410261</v>
      </c>
      <c r="V160" s="61">
        <v>92.356999999999999</v>
      </c>
      <c r="W160" s="68">
        <v>5.5201679411430414E-2</v>
      </c>
    </row>
    <row r="161" spans="1:23" ht="14.5" thickBot="1">
      <c r="A161" s="241"/>
      <c r="B161" s="247" t="s">
        <v>5</v>
      </c>
      <c r="C161" s="89">
        <v>5</v>
      </c>
      <c r="D161" s="74">
        <v>3.9608628999999951</v>
      </c>
      <c r="E161" s="74">
        <v>1.6003486464646446</v>
      </c>
      <c r="F161" s="74">
        <v>624.86383964463982</v>
      </c>
      <c r="G161" s="74">
        <v>4.7671052631578954</v>
      </c>
      <c r="H161" s="74">
        <v>9.765625</v>
      </c>
      <c r="I161" s="74">
        <v>5804.3671875</v>
      </c>
      <c r="J161" s="74">
        <v>5804.6868832236842</v>
      </c>
      <c r="K161" s="74">
        <v>5809.0625</v>
      </c>
      <c r="L161" s="74">
        <v>0.31969572368416266</v>
      </c>
      <c r="M161" s="74">
        <v>4.6953125</v>
      </c>
      <c r="N161" s="74">
        <v>2603.2578125</v>
      </c>
      <c r="O161" s="74">
        <v>2614.6262335526317</v>
      </c>
      <c r="P161" s="74">
        <v>2615.2578125</v>
      </c>
      <c r="Q161" s="74">
        <v>11.368421052631675</v>
      </c>
      <c r="R161" s="74">
        <v>12</v>
      </c>
      <c r="S161" s="74">
        <v>62.736842105263158</v>
      </c>
      <c r="T161" s="74">
        <v>100</v>
      </c>
      <c r="U161" s="74">
        <v>46.338657894736833</v>
      </c>
      <c r="V161" s="74">
        <v>79.786000000000001</v>
      </c>
      <c r="W161" s="75">
        <v>5.3001543157166868E-2</v>
      </c>
    </row>
    <row r="162" spans="1:23">
      <c r="A162" s="239" t="s">
        <v>80</v>
      </c>
      <c r="B162" s="242" t="s">
        <v>2</v>
      </c>
      <c r="C162" s="86">
        <v>1</v>
      </c>
      <c r="D162" s="65">
        <v>222.89718170000015</v>
      </c>
      <c r="E162" s="65">
        <v>12.38317676111112</v>
      </c>
      <c r="F162" s="65">
        <v>80.754722256768616</v>
      </c>
      <c r="G162" s="65">
        <v>3.1400179290387524</v>
      </c>
      <c r="H162" s="65">
        <v>8.4343749999999993</v>
      </c>
      <c r="I162" s="65">
        <v>5334.28125</v>
      </c>
      <c r="J162" s="65">
        <v>5323.4529913185706</v>
      </c>
      <c r="K162" s="65">
        <v>5335.7890625</v>
      </c>
      <c r="L162" s="65">
        <v>0</v>
      </c>
      <c r="M162" s="65">
        <v>1.5078125</v>
      </c>
      <c r="N162" s="65">
        <v>2427.33203125</v>
      </c>
      <c r="O162" s="65">
        <v>2958.5267972288625</v>
      </c>
      <c r="P162" s="65">
        <v>2959.33203125</v>
      </c>
      <c r="Q162" s="65">
        <v>531.19476597886251</v>
      </c>
      <c r="R162" s="65">
        <v>532</v>
      </c>
      <c r="S162" s="65">
        <v>39.888777050830399</v>
      </c>
      <c r="T162" s="65">
        <v>99</v>
      </c>
      <c r="U162" s="65">
        <v>36.231356316054352</v>
      </c>
      <c r="V162" s="65">
        <v>102.759</v>
      </c>
      <c r="W162" s="66">
        <v>2.24705815450938</v>
      </c>
    </row>
    <row r="163" spans="1:23">
      <c r="A163" s="240"/>
      <c r="B163" s="243" t="s">
        <v>2</v>
      </c>
      <c r="C163" s="87">
        <v>2</v>
      </c>
      <c r="D163" s="62">
        <v>232.01845859999958</v>
      </c>
      <c r="E163" s="62">
        <v>12.889914366666645</v>
      </c>
      <c r="F163" s="62">
        <v>77.580034401625113</v>
      </c>
      <c r="G163" s="62">
        <v>3.1393209018375243</v>
      </c>
      <c r="H163" s="62">
        <v>11.946875</v>
      </c>
      <c r="I163" s="62">
        <v>5324.54296875</v>
      </c>
      <c r="J163" s="62">
        <v>5317.6966668429641</v>
      </c>
      <c r="K163" s="62">
        <v>5332</v>
      </c>
      <c r="L163" s="62">
        <v>0</v>
      </c>
      <c r="M163" s="62">
        <v>7.45703125</v>
      </c>
      <c r="N163" s="62">
        <v>2415.33203125</v>
      </c>
      <c r="O163" s="62">
        <v>2946.5583368592843</v>
      </c>
      <c r="P163" s="62">
        <v>2947.33203125</v>
      </c>
      <c r="Q163" s="62">
        <v>531.22630560928428</v>
      </c>
      <c r="R163" s="62">
        <v>532</v>
      </c>
      <c r="S163" s="62">
        <v>38.046421663442942</v>
      </c>
      <c r="T163" s="62">
        <v>100</v>
      </c>
      <c r="U163" s="62">
        <v>34.034108317214695</v>
      </c>
      <c r="V163" s="62">
        <v>112.206</v>
      </c>
      <c r="W163" s="67">
        <v>2.1984822232957715</v>
      </c>
    </row>
    <row r="164" spans="1:23">
      <c r="A164" s="240"/>
      <c r="B164" s="243" t="s">
        <v>2</v>
      </c>
      <c r="C164" s="88">
        <v>3</v>
      </c>
      <c r="D164" s="61">
        <v>243.7498368000015</v>
      </c>
      <c r="E164" s="61">
        <v>13.541657600000082</v>
      </c>
      <c r="F164" s="61">
        <v>73.846203289026732</v>
      </c>
      <c r="G164" s="61">
        <v>3.1404295977011492</v>
      </c>
      <c r="H164" s="61">
        <v>8.4343749999999993</v>
      </c>
      <c r="I164" s="61">
        <v>5316.6015625</v>
      </c>
      <c r="J164" s="61">
        <v>5300.1047108477014</v>
      </c>
      <c r="K164" s="61">
        <v>5328.7109375</v>
      </c>
      <c r="L164" s="61">
        <v>0</v>
      </c>
      <c r="M164" s="61">
        <v>12.109375</v>
      </c>
      <c r="N164" s="61">
        <v>2415.33203125</v>
      </c>
      <c r="O164" s="61">
        <v>3002.3311781609195</v>
      </c>
      <c r="P164" s="61">
        <v>3018.76171875</v>
      </c>
      <c r="Q164" s="61">
        <v>586.99914691091954</v>
      </c>
      <c r="R164" s="61">
        <v>603.4296875</v>
      </c>
      <c r="S164" s="61">
        <v>36.331494252873561</v>
      </c>
      <c r="T164" s="61">
        <v>99</v>
      </c>
      <c r="U164" s="61">
        <v>33.432425747126437</v>
      </c>
      <c r="V164" s="61">
        <v>101.65</v>
      </c>
      <c r="W164" s="68">
        <v>2.2679762926703839</v>
      </c>
    </row>
    <row r="165" spans="1:23">
      <c r="A165" s="240"/>
      <c r="B165" s="243" t="s">
        <v>2</v>
      </c>
      <c r="C165" s="87">
        <v>4</v>
      </c>
      <c r="D165" s="62">
        <v>243.64587720000054</v>
      </c>
      <c r="E165" s="62">
        <v>13.535882066666698</v>
      </c>
      <c r="F165" s="62">
        <v>73.877712222581209</v>
      </c>
      <c r="G165" s="62">
        <v>3.1350974614687215</v>
      </c>
      <c r="H165" s="62">
        <v>10.387499999999999</v>
      </c>
      <c r="I165" s="62">
        <v>5290.26171875</v>
      </c>
      <c r="J165" s="62">
        <v>5285.9557474643016</v>
      </c>
      <c r="K165" s="62">
        <v>5302.55859375</v>
      </c>
      <c r="L165" s="62">
        <v>0</v>
      </c>
      <c r="M165" s="62">
        <v>12.296875</v>
      </c>
      <c r="N165" s="62">
        <v>2486.76171875</v>
      </c>
      <c r="O165" s="62">
        <v>3018.036424099048</v>
      </c>
      <c r="P165" s="62">
        <v>3018.76171875</v>
      </c>
      <c r="Q165" s="62">
        <v>531.27470534904796</v>
      </c>
      <c r="R165" s="62">
        <v>532</v>
      </c>
      <c r="S165" s="62">
        <v>36.799184043517677</v>
      </c>
      <c r="T165" s="62">
        <v>87</v>
      </c>
      <c r="U165" s="62">
        <v>30.686216681776969</v>
      </c>
      <c r="V165" s="62">
        <v>91.251000000000005</v>
      </c>
      <c r="W165" s="67">
        <v>2.0779988708200996</v>
      </c>
    </row>
    <row r="166" spans="1:23" ht="14.5" thickBot="1">
      <c r="A166" s="240"/>
      <c r="B166" s="244" t="s">
        <v>2</v>
      </c>
      <c r="C166" s="88">
        <v>5</v>
      </c>
      <c r="D166" s="61">
        <v>239.97777060000044</v>
      </c>
      <c r="E166" s="61">
        <v>13.33209836666669</v>
      </c>
      <c r="F166" s="61">
        <v>75.006947330979031</v>
      </c>
      <c r="G166" s="61">
        <v>3.1099669986104681</v>
      </c>
      <c r="H166" s="61">
        <v>8.5124999999999993</v>
      </c>
      <c r="I166" s="61">
        <v>5278.91796875</v>
      </c>
      <c r="J166" s="61">
        <v>5278.6168600191058</v>
      </c>
      <c r="K166" s="61">
        <v>5291.140625</v>
      </c>
      <c r="L166" s="61">
        <v>0</v>
      </c>
      <c r="M166" s="61">
        <v>12.22265625</v>
      </c>
      <c r="N166" s="61">
        <v>2486.76171875</v>
      </c>
      <c r="O166" s="61">
        <v>3018.0206349148912</v>
      </c>
      <c r="P166" s="61">
        <v>3018.76171875</v>
      </c>
      <c r="Q166" s="61">
        <v>531.25891616489116</v>
      </c>
      <c r="R166" s="61">
        <v>532</v>
      </c>
      <c r="S166" s="61">
        <v>37.064844835572025</v>
      </c>
      <c r="T166" s="61">
        <v>100</v>
      </c>
      <c r="U166" s="61">
        <v>31.448770727188517</v>
      </c>
      <c r="V166" s="61">
        <v>92.992999999999995</v>
      </c>
      <c r="W166" s="68">
        <v>2.100164396534276</v>
      </c>
    </row>
    <row r="167" spans="1:23">
      <c r="A167" s="240"/>
      <c r="B167" s="245" t="s">
        <v>3</v>
      </c>
      <c r="C167" s="87">
        <v>1</v>
      </c>
      <c r="D167" s="62">
        <v>77.153239199999916</v>
      </c>
      <c r="E167" s="62">
        <v>12.943002717664807</v>
      </c>
      <c r="F167" s="62">
        <v>77.261824154234688</v>
      </c>
      <c r="G167" s="62">
        <v>3.1106507823613088</v>
      </c>
      <c r="H167" s="62">
        <v>6.8250000000000002</v>
      </c>
      <c r="I167" s="62">
        <v>2379.4609375</v>
      </c>
      <c r="J167" s="62">
        <v>2368.2017525337837</v>
      </c>
      <c r="K167" s="62">
        <v>2379.97265625</v>
      </c>
      <c r="L167" s="62">
        <v>0</v>
      </c>
      <c r="M167" s="62">
        <v>0.51171875</v>
      </c>
      <c r="N167" s="62">
        <v>2726.70703125</v>
      </c>
      <c r="O167" s="62">
        <v>3256.4310710793029</v>
      </c>
      <c r="P167" s="62">
        <v>3258.70703125</v>
      </c>
      <c r="Q167" s="62">
        <v>529.72403982930291</v>
      </c>
      <c r="R167" s="62">
        <v>532</v>
      </c>
      <c r="S167" s="62">
        <v>40.600284495021334</v>
      </c>
      <c r="T167" s="62">
        <v>99</v>
      </c>
      <c r="U167" s="62">
        <v>33.137529160739682</v>
      </c>
      <c r="V167" s="62">
        <v>81.328000000000003</v>
      </c>
      <c r="W167" s="67">
        <v>0.71135107011610721</v>
      </c>
    </row>
    <row r="168" spans="1:23">
      <c r="A168" s="240"/>
      <c r="B168" s="245" t="s">
        <v>3</v>
      </c>
      <c r="C168" s="88">
        <v>2</v>
      </c>
      <c r="D168" s="61">
        <v>78.524979199999962</v>
      </c>
      <c r="E168" s="61">
        <v>13.173121825197107</v>
      </c>
      <c r="F168" s="61">
        <v>75.912150002836327</v>
      </c>
      <c r="G168" s="61">
        <v>3.1297381875881523</v>
      </c>
      <c r="H168" s="61">
        <v>7.1031250000000004</v>
      </c>
      <c r="I168" s="61">
        <v>2363.49609375</v>
      </c>
      <c r="J168" s="61">
        <v>2369.273999471086</v>
      </c>
      <c r="K168" s="61">
        <v>2381.046875</v>
      </c>
      <c r="L168" s="61">
        <v>5.7779057210859719</v>
      </c>
      <c r="M168" s="61">
        <v>17.55078125</v>
      </c>
      <c r="N168" s="61">
        <v>2714.70703125</v>
      </c>
      <c r="O168" s="61">
        <v>3244.4503316731311</v>
      </c>
      <c r="P168" s="61">
        <v>3246.70703125</v>
      </c>
      <c r="Q168" s="61">
        <v>529.74330042313113</v>
      </c>
      <c r="R168" s="61">
        <v>532</v>
      </c>
      <c r="S168" s="61">
        <v>38.809590973201693</v>
      </c>
      <c r="T168" s="61">
        <v>100</v>
      </c>
      <c r="U168" s="61">
        <v>33.566699576868828</v>
      </c>
      <c r="V168" s="61">
        <v>93.680999999999997</v>
      </c>
      <c r="W168" s="68">
        <v>0.73379795435193063</v>
      </c>
    </row>
    <row r="169" spans="1:23">
      <c r="A169" s="240"/>
      <c r="B169" s="245" t="s">
        <v>3</v>
      </c>
      <c r="C169" s="87">
        <v>3</v>
      </c>
      <c r="D169" s="62">
        <v>80.398778299999776</v>
      </c>
      <c r="E169" s="62">
        <v>13.487464905217207</v>
      </c>
      <c r="F169" s="62">
        <v>74.142917666698139</v>
      </c>
      <c r="G169" s="62">
        <v>3.0977214432284539</v>
      </c>
      <c r="H169" s="62">
        <v>8.0625</v>
      </c>
      <c r="I169" s="62">
        <v>2363.9375</v>
      </c>
      <c r="J169" s="62">
        <v>2369.2054067629961</v>
      </c>
      <c r="K169" s="62">
        <v>2381.23828125</v>
      </c>
      <c r="L169" s="62">
        <v>5.2679067629960628</v>
      </c>
      <c r="M169" s="62">
        <v>17.30078125</v>
      </c>
      <c r="N169" s="62">
        <v>2714.70703125</v>
      </c>
      <c r="O169" s="62">
        <v>3244.5182487602601</v>
      </c>
      <c r="P169" s="62">
        <v>3246.70703125</v>
      </c>
      <c r="Q169" s="62">
        <v>529.81121751026012</v>
      </c>
      <c r="R169" s="62">
        <v>532</v>
      </c>
      <c r="S169" s="62">
        <v>37.839945280437753</v>
      </c>
      <c r="T169" s="62">
        <v>100</v>
      </c>
      <c r="U169" s="62">
        <v>33.764860465116278</v>
      </c>
      <c r="V169" s="62">
        <v>91.707999999999998</v>
      </c>
      <c r="W169" s="67">
        <v>0.75598908966920308</v>
      </c>
    </row>
    <row r="170" spans="1:23">
      <c r="A170" s="240"/>
      <c r="B170" s="245" t="s">
        <v>3</v>
      </c>
      <c r="C170" s="88">
        <v>4</v>
      </c>
      <c r="D170" s="61">
        <v>79.922912500000166</v>
      </c>
      <c r="E170" s="61">
        <v>13.407635044455656</v>
      </c>
      <c r="F170" s="61">
        <v>74.58436903184662</v>
      </c>
      <c r="G170" s="61">
        <v>3.1019671143250687</v>
      </c>
      <c r="H170" s="61">
        <v>8.5124999999999993</v>
      </c>
      <c r="I170" s="61">
        <v>2358.140625</v>
      </c>
      <c r="J170" s="61">
        <v>2363.9367036845729</v>
      </c>
      <c r="K170" s="61">
        <v>2374.83203125</v>
      </c>
      <c r="L170" s="61">
        <v>5.7960786845728762</v>
      </c>
      <c r="M170" s="61">
        <v>16.69140625</v>
      </c>
      <c r="N170" s="61">
        <v>2714.70703125</v>
      </c>
      <c r="O170" s="61">
        <v>3244.5031745006886</v>
      </c>
      <c r="P170" s="61">
        <v>3246.70703125</v>
      </c>
      <c r="Q170" s="61">
        <v>529.7961432506886</v>
      </c>
      <c r="R170" s="61">
        <v>532</v>
      </c>
      <c r="S170" s="61">
        <v>37.292011019283748</v>
      </c>
      <c r="T170" s="61">
        <v>99</v>
      </c>
      <c r="U170" s="61">
        <v>30.411008264462808</v>
      </c>
      <c r="V170" s="61">
        <v>78.590999999999994</v>
      </c>
      <c r="W170" s="68">
        <v>0.67662616681426191</v>
      </c>
    </row>
    <row r="171" spans="1:23" ht="14.5" thickBot="1">
      <c r="A171" s="240"/>
      <c r="B171" s="245" t="s">
        <v>3</v>
      </c>
      <c r="C171" s="87">
        <v>5</v>
      </c>
      <c r="D171" s="62">
        <v>77.248009800000546</v>
      </c>
      <c r="E171" s="62">
        <v>12.958901157523998</v>
      </c>
      <c r="F171" s="62">
        <v>77.167036606294005</v>
      </c>
      <c r="G171" s="62">
        <v>3.0577258179231865</v>
      </c>
      <c r="H171" s="62">
        <v>7.546875</v>
      </c>
      <c r="I171" s="62">
        <v>2358.48828125</v>
      </c>
      <c r="J171" s="62">
        <v>2364.1679965327171</v>
      </c>
      <c r="K171" s="62">
        <v>2376.03515625</v>
      </c>
      <c r="L171" s="62">
        <v>5.6797152827170976</v>
      </c>
      <c r="M171" s="62">
        <v>17.546875</v>
      </c>
      <c r="N171" s="62">
        <v>2714.70703125</v>
      </c>
      <c r="O171" s="62">
        <v>3244.4310710793029</v>
      </c>
      <c r="P171" s="62">
        <v>3246.70703125</v>
      </c>
      <c r="Q171" s="62">
        <v>529.72403982930291</v>
      </c>
      <c r="R171" s="62">
        <v>532</v>
      </c>
      <c r="S171" s="62">
        <v>37.381223328591751</v>
      </c>
      <c r="T171" s="62">
        <v>100</v>
      </c>
      <c r="U171" s="62">
        <v>28.775389758179234</v>
      </c>
      <c r="V171" s="62">
        <v>67.747</v>
      </c>
      <c r="W171" s="67">
        <v>0.61877765371523508</v>
      </c>
    </row>
    <row r="172" spans="1:23">
      <c r="A172" s="240"/>
      <c r="B172" s="242" t="s">
        <v>4</v>
      </c>
      <c r="C172" s="88">
        <v>1</v>
      </c>
      <c r="D172" s="61">
        <v>40.228727000000163</v>
      </c>
      <c r="E172" s="61">
        <v>13.40957566666672</v>
      </c>
      <c r="F172" s="61">
        <v>74.573575246365309</v>
      </c>
      <c r="G172" s="61">
        <v>3.0725391689373294</v>
      </c>
      <c r="H172" s="61">
        <v>6.71875</v>
      </c>
      <c r="I172" s="61">
        <v>6836.16015625</v>
      </c>
      <c r="J172" s="61">
        <v>6824.7501596559941</v>
      </c>
      <c r="K172" s="61">
        <v>6836.359375</v>
      </c>
      <c r="L172" s="61">
        <v>0</v>
      </c>
      <c r="M172" s="61">
        <v>0.19921875</v>
      </c>
      <c r="N172" s="61">
        <v>2726.76953125</v>
      </c>
      <c r="O172" s="61">
        <v>3254.4098582254769</v>
      </c>
      <c r="P172" s="61">
        <v>3258.76953125</v>
      </c>
      <c r="Q172" s="61">
        <v>527.64032697547691</v>
      </c>
      <c r="R172" s="61">
        <v>532</v>
      </c>
      <c r="S172" s="61">
        <v>39.844686648501366</v>
      </c>
      <c r="T172" s="61">
        <v>99</v>
      </c>
      <c r="U172" s="61">
        <v>32.668743869209813</v>
      </c>
      <c r="V172" s="61">
        <v>96.019000000000005</v>
      </c>
      <c r="W172" s="68">
        <v>0.36693434969748401</v>
      </c>
    </row>
    <row r="173" spans="1:23">
      <c r="A173" s="240"/>
      <c r="B173" s="243" t="s">
        <v>4</v>
      </c>
      <c r="C173" s="87">
        <v>2</v>
      </c>
      <c r="D173" s="62">
        <v>40.941633700000011</v>
      </c>
      <c r="E173" s="62">
        <v>13.647211233333337</v>
      </c>
      <c r="F173" s="62">
        <v>73.275043736224902</v>
      </c>
      <c r="G173" s="62">
        <v>3.0850572776280325</v>
      </c>
      <c r="H173" s="62">
        <v>6.71875</v>
      </c>
      <c r="I173" s="62">
        <v>6818.6875</v>
      </c>
      <c r="J173" s="62">
        <v>6824.8600067385441</v>
      </c>
      <c r="K173" s="62">
        <v>6836.79296875</v>
      </c>
      <c r="L173" s="62">
        <v>6.1725067385441434</v>
      </c>
      <c r="M173" s="62">
        <v>18.10546875</v>
      </c>
      <c r="N173" s="62">
        <v>2726.76953125</v>
      </c>
      <c r="O173" s="62">
        <v>3254.4622536219676</v>
      </c>
      <c r="P173" s="62">
        <v>3258.76953125</v>
      </c>
      <c r="Q173" s="62">
        <v>527.69272237196765</v>
      </c>
      <c r="R173" s="62">
        <v>532</v>
      </c>
      <c r="S173" s="62">
        <v>37.865229110512132</v>
      </c>
      <c r="T173" s="62">
        <v>99</v>
      </c>
      <c r="U173" s="62">
        <v>33.078064690026956</v>
      </c>
      <c r="V173" s="62">
        <v>84.778000000000006</v>
      </c>
      <c r="W173" s="67">
        <v>0.37729797134186999</v>
      </c>
    </row>
    <row r="174" spans="1:23">
      <c r="A174" s="240"/>
      <c r="B174" s="243" t="s">
        <v>4</v>
      </c>
      <c r="C174" s="88">
        <v>3</v>
      </c>
      <c r="D174" s="61">
        <v>38.41901770000004</v>
      </c>
      <c r="E174" s="61">
        <v>12.806339233333347</v>
      </c>
      <c r="F174" s="61">
        <v>78.08632754293447</v>
      </c>
      <c r="G174" s="61">
        <v>3.0344373219373217</v>
      </c>
      <c r="H174" s="61">
        <v>7.9906249999999996</v>
      </c>
      <c r="I174" s="61">
        <v>6818.703125</v>
      </c>
      <c r="J174" s="61">
        <v>6824.8972355769229</v>
      </c>
      <c r="K174" s="61">
        <v>6834.91015625</v>
      </c>
      <c r="L174" s="61">
        <v>6.194110576922867</v>
      </c>
      <c r="M174" s="61">
        <v>16.20703125</v>
      </c>
      <c r="N174" s="61">
        <v>2726.76953125</v>
      </c>
      <c r="O174" s="61">
        <v>3254.2111266915954</v>
      </c>
      <c r="P174" s="61">
        <v>3258.76953125</v>
      </c>
      <c r="Q174" s="61">
        <v>527.44159544159538</v>
      </c>
      <c r="R174" s="61">
        <v>532</v>
      </c>
      <c r="S174" s="61">
        <v>39.03133903133903</v>
      </c>
      <c r="T174" s="61">
        <v>100</v>
      </c>
      <c r="U174" s="61">
        <v>34.80389743589744</v>
      </c>
      <c r="V174" s="61">
        <v>79.635999999999996</v>
      </c>
      <c r="W174" s="68">
        <v>0.37257106483975033</v>
      </c>
    </row>
    <row r="175" spans="1:23">
      <c r="A175" s="240"/>
      <c r="B175" s="243" t="s">
        <v>4</v>
      </c>
      <c r="C175" s="87">
        <v>4</v>
      </c>
      <c r="D175" s="62">
        <v>37.636409599999979</v>
      </c>
      <c r="E175" s="62">
        <v>12.545469866666661</v>
      </c>
      <c r="F175" s="62">
        <v>79.71004758115933</v>
      </c>
      <c r="G175" s="62">
        <v>3.0958423913043478</v>
      </c>
      <c r="H175" s="62">
        <v>8.0625</v>
      </c>
      <c r="I175" s="62">
        <v>6818.7109375</v>
      </c>
      <c r="J175" s="62">
        <v>6824.922214673913</v>
      </c>
      <c r="K175" s="62">
        <v>6829.83984375</v>
      </c>
      <c r="L175" s="62">
        <v>6.2112771739130039</v>
      </c>
      <c r="M175" s="62">
        <v>11.12890625</v>
      </c>
      <c r="N175" s="62">
        <v>2726.76953125</v>
      </c>
      <c r="O175" s="62">
        <v>3254.1376471920289</v>
      </c>
      <c r="P175" s="62">
        <v>3258.76953125</v>
      </c>
      <c r="Q175" s="62">
        <v>527.36811594202891</v>
      </c>
      <c r="R175" s="62">
        <v>532</v>
      </c>
      <c r="S175" s="62">
        <v>38.423188405797099</v>
      </c>
      <c r="T175" s="62">
        <v>100</v>
      </c>
      <c r="U175" s="62">
        <v>29.462779710144925</v>
      </c>
      <c r="V175" s="62">
        <v>69.786000000000001</v>
      </c>
      <c r="W175" s="67">
        <v>0.30921477931681984</v>
      </c>
    </row>
    <row r="176" spans="1:23" ht="14.5" thickBot="1">
      <c r="A176" s="240"/>
      <c r="B176" s="244" t="s">
        <v>4</v>
      </c>
      <c r="C176" s="88">
        <v>5</v>
      </c>
      <c r="D176" s="61">
        <v>38.574963600000046</v>
      </c>
      <c r="E176" s="61">
        <v>12.858321200000015</v>
      </c>
      <c r="F176" s="61">
        <v>77.770650184100148</v>
      </c>
      <c r="G176" s="61">
        <v>3.1259092514124296</v>
      </c>
      <c r="H176" s="61">
        <v>9.40625</v>
      </c>
      <c r="I176" s="61">
        <v>6818.72265625</v>
      </c>
      <c r="J176" s="61">
        <v>6824.9218418961864</v>
      </c>
      <c r="K176" s="61">
        <v>6834.05859375</v>
      </c>
      <c r="L176" s="61">
        <v>6.199185646186379</v>
      </c>
      <c r="M176" s="61">
        <v>15.3359375</v>
      </c>
      <c r="N176" s="61">
        <v>2726.76953125</v>
      </c>
      <c r="O176" s="61">
        <v>3254.2554069562148</v>
      </c>
      <c r="P176" s="61">
        <v>3258.76953125</v>
      </c>
      <c r="Q176" s="61">
        <v>527.48587570621476</v>
      </c>
      <c r="R176" s="61">
        <v>532</v>
      </c>
      <c r="S176" s="61">
        <v>38.279661016949156</v>
      </c>
      <c r="T176" s="61">
        <v>100</v>
      </c>
      <c r="U176" s="61">
        <v>29.690514124293784</v>
      </c>
      <c r="V176" s="61">
        <v>68.540999999999997</v>
      </c>
      <c r="W176" s="68">
        <v>0.31936139169494315</v>
      </c>
    </row>
    <row r="177" spans="1:23">
      <c r="A177" s="240"/>
      <c r="B177" s="246" t="s">
        <v>5</v>
      </c>
      <c r="C177" s="87">
        <v>1</v>
      </c>
      <c r="D177" s="62">
        <v>31.41336350000006</v>
      </c>
      <c r="E177" s="62">
        <v>12.692268080808105</v>
      </c>
      <c r="F177" s="62">
        <v>78.788124678212043</v>
      </c>
      <c r="G177" s="62">
        <v>3.1194627192982458</v>
      </c>
      <c r="H177" s="62">
        <v>7.546875</v>
      </c>
      <c r="I177" s="62">
        <v>5801.1328125</v>
      </c>
      <c r="J177" s="62">
        <v>5789.5723684210525</v>
      </c>
      <c r="K177" s="62">
        <v>5801.33203125</v>
      </c>
      <c r="L177" s="62">
        <v>0</v>
      </c>
      <c r="M177" s="62">
        <v>0.19921875</v>
      </c>
      <c r="N177" s="62">
        <v>2726.76953125</v>
      </c>
      <c r="O177" s="62">
        <v>3253.1554961622805</v>
      </c>
      <c r="P177" s="62">
        <v>3258.76953125</v>
      </c>
      <c r="Q177" s="62">
        <v>526.38596491228054</v>
      </c>
      <c r="R177" s="62">
        <v>532</v>
      </c>
      <c r="S177" s="62">
        <v>40.522807017543862</v>
      </c>
      <c r="T177" s="62">
        <v>99</v>
      </c>
      <c r="U177" s="62">
        <v>32.616101754385966</v>
      </c>
      <c r="V177" s="62">
        <v>86.394000000000005</v>
      </c>
      <c r="W177" s="67">
        <v>0.28651932418173792</v>
      </c>
    </row>
    <row r="178" spans="1:23">
      <c r="A178" s="240"/>
      <c r="B178" s="245" t="s">
        <v>5</v>
      </c>
      <c r="C178" s="88">
        <v>2</v>
      </c>
      <c r="D178" s="61">
        <v>30.94764639999994</v>
      </c>
      <c r="E178" s="61">
        <v>12.504099555555532</v>
      </c>
      <c r="F178" s="61">
        <v>79.973771446477585</v>
      </c>
      <c r="G178" s="61">
        <v>3.1246316964285712</v>
      </c>
      <c r="H178" s="61">
        <v>6.71875</v>
      </c>
      <c r="I178" s="61">
        <v>5785.90625</v>
      </c>
      <c r="J178" s="61">
        <v>5789.90087890625</v>
      </c>
      <c r="K178" s="61">
        <v>5793.6015625</v>
      </c>
      <c r="L178" s="61">
        <v>3.99462890625</v>
      </c>
      <c r="M178" s="61">
        <v>7.6953125</v>
      </c>
      <c r="N178" s="61">
        <v>2714.76953125</v>
      </c>
      <c r="O178" s="61">
        <v>3241.0552455357142</v>
      </c>
      <c r="P178" s="61">
        <v>3246.76953125</v>
      </c>
      <c r="Q178" s="61">
        <v>526.28571428571422</v>
      </c>
      <c r="R178" s="61">
        <v>532</v>
      </c>
      <c r="S178" s="61">
        <v>40.782142857142858</v>
      </c>
      <c r="T178" s="61">
        <v>99</v>
      </c>
      <c r="U178" s="61">
        <v>34.495064285714278</v>
      </c>
      <c r="V178" s="61">
        <v>97.912999999999997</v>
      </c>
      <c r="W178" s="68">
        <v>0.29879821629559317</v>
      </c>
    </row>
    <row r="179" spans="1:23">
      <c r="A179" s="240"/>
      <c r="B179" s="245" t="s">
        <v>5</v>
      </c>
      <c r="C179" s="87">
        <v>3</v>
      </c>
      <c r="D179" s="62">
        <v>31.353087500000129</v>
      </c>
      <c r="E179" s="62">
        <v>12.667914141414194</v>
      </c>
      <c r="F179" s="62">
        <v>78.93959406709115</v>
      </c>
      <c r="G179" s="62">
        <v>3.0816948398576511</v>
      </c>
      <c r="H179" s="62">
        <v>6.6593749999999998</v>
      </c>
      <c r="I179" s="62">
        <v>5786.00390625</v>
      </c>
      <c r="J179" s="62">
        <v>5790.0082712411031</v>
      </c>
      <c r="K179" s="62">
        <v>5799.87890625</v>
      </c>
      <c r="L179" s="62">
        <v>4.0043649911031025</v>
      </c>
      <c r="M179" s="62">
        <v>13.875</v>
      </c>
      <c r="N179" s="62">
        <v>2714.76953125</v>
      </c>
      <c r="O179" s="62">
        <v>3241.0755810720639</v>
      </c>
      <c r="P179" s="62">
        <v>3246.76953125</v>
      </c>
      <c r="Q179" s="62">
        <v>526.30604982206387</v>
      </c>
      <c r="R179" s="62">
        <v>532</v>
      </c>
      <c r="S179" s="62">
        <v>39.519572953736656</v>
      </c>
      <c r="T179" s="62">
        <v>82</v>
      </c>
      <c r="U179" s="62">
        <v>35.445021352313162</v>
      </c>
      <c r="V179" s="62">
        <v>85.260999999999996</v>
      </c>
      <c r="W179" s="67">
        <v>0.31135677995340477</v>
      </c>
    </row>
    <row r="180" spans="1:23">
      <c r="A180" s="240"/>
      <c r="B180" s="245" t="s">
        <v>5</v>
      </c>
      <c r="C180" s="88">
        <v>4</v>
      </c>
      <c r="D180" s="61">
        <v>31.544310600000017</v>
      </c>
      <c r="E180" s="61">
        <v>12.745176000000008</v>
      </c>
      <c r="F180" s="61">
        <v>78.461058521278915</v>
      </c>
      <c r="G180" s="61">
        <v>3.172319878472222</v>
      </c>
      <c r="H180" s="61">
        <v>6.7531249999999998</v>
      </c>
      <c r="I180" s="61">
        <v>5786.01953125</v>
      </c>
      <c r="J180" s="61">
        <v>5789.9932047526045</v>
      </c>
      <c r="K180" s="61">
        <v>5800.71875</v>
      </c>
      <c r="L180" s="61">
        <v>3.9736735026044698</v>
      </c>
      <c r="M180" s="61">
        <v>14.69921875</v>
      </c>
      <c r="N180" s="61">
        <v>2714.76953125</v>
      </c>
      <c r="O180" s="61">
        <v>3241.2139756944443</v>
      </c>
      <c r="P180" s="61">
        <v>3246.76953125</v>
      </c>
      <c r="Q180" s="61">
        <v>526.44444444444434</v>
      </c>
      <c r="R180" s="61">
        <v>532</v>
      </c>
      <c r="S180" s="61">
        <v>40.041666666666664</v>
      </c>
      <c r="T180" s="61">
        <v>100</v>
      </c>
      <c r="U180" s="61">
        <v>33.155909722222219</v>
      </c>
      <c r="V180" s="61">
        <v>87.381</v>
      </c>
      <c r="W180" s="68">
        <v>0.29104308258766343</v>
      </c>
    </row>
    <row r="181" spans="1:23" ht="14.5" thickBot="1">
      <c r="A181" s="241"/>
      <c r="B181" s="247" t="s">
        <v>5</v>
      </c>
      <c r="C181" s="89">
        <v>5</v>
      </c>
      <c r="D181" s="74">
        <v>31.319294300000138</v>
      </c>
      <c r="E181" s="74">
        <v>12.654260323232378</v>
      </c>
      <c r="F181" s="74">
        <v>79.024769086191995</v>
      </c>
      <c r="G181" s="74">
        <v>3.0993572695035461</v>
      </c>
      <c r="H181" s="74">
        <v>6.6593749999999998</v>
      </c>
      <c r="I181" s="74">
        <v>5786.0390625</v>
      </c>
      <c r="J181" s="74">
        <v>5790.0797733820918</v>
      </c>
      <c r="K181" s="74">
        <v>5799.828125</v>
      </c>
      <c r="L181" s="74">
        <v>4.0407108820918438</v>
      </c>
      <c r="M181" s="74">
        <v>13.7890625</v>
      </c>
      <c r="N181" s="74">
        <v>2714.76953125</v>
      </c>
      <c r="O181" s="74">
        <v>3241.0957723847519</v>
      </c>
      <c r="P181" s="74">
        <v>3246.76953125</v>
      </c>
      <c r="Q181" s="74">
        <v>526.32624113475185</v>
      </c>
      <c r="R181" s="74">
        <v>532</v>
      </c>
      <c r="S181" s="74">
        <v>40.042553191489361</v>
      </c>
      <c r="T181" s="74">
        <v>100</v>
      </c>
      <c r="U181" s="74">
        <v>33.326241134751776</v>
      </c>
      <c r="V181" s="74">
        <v>97.266999999999996</v>
      </c>
      <c r="W181" s="75">
        <v>0.29203220023463644</v>
      </c>
    </row>
    <row r="182" spans="1:23">
      <c r="A182" s="239" t="s">
        <v>81</v>
      </c>
      <c r="B182" s="242" t="s">
        <v>2</v>
      </c>
      <c r="C182" s="86">
        <v>1</v>
      </c>
      <c r="D182" s="65">
        <v>190.69098030000168</v>
      </c>
      <c r="E182" s="65">
        <v>10.593943350000092</v>
      </c>
      <c r="F182" s="65">
        <v>94.393557428263122</v>
      </c>
      <c r="G182" s="65">
        <v>3.0339823393167342</v>
      </c>
      <c r="H182" s="65">
        <v>12.428125</v>
      </c>
      <c r="I182" s="65">
        <v>4807.5703125</v>
      </c>
      <c r="J182" s="65">
        <v>4808.0417382925598</v>
      </c>
      <c r="K182" s="65">
        <v>4812.68359375</v>
      </c>
      <c r="L182" s="65">
        <v>0.4714257925597849</v>
      </c>
      <c r="M182" s="65">
        <v>5.11328125</v>
      </c>
      <c r="N182" s="65">
        <v>6378.58203125</v>
      </c>
      <c r="O182" s="65">
        <v>7211.6740984184999</v>
      </c>
      <c r="P182" s="65">
        <v>7238.58203125</v>
      </c>
      <c r="Q182" s="65">
        <v>833.09206716849985</v>
      </c>
      <c r="R182" s="65">
        <v>860</v>
      </c>
      <c r="S182" s="65">
        <v>99.537348002316151</v>
      </c>
      <c r="T182" s="65">
        <v>100</v>
      </c>
      <c r="U182" s="65">
        <v>50.60025825130284</v>
      </c>
      <c r="V182" s="65">
        <v>69.489000000000004</v>
      </c>
      <c r="W182" s="66">
        <v>2.6820505348949877</v>
      </c>
    </row>
    <row r="183" spans="1:23">
      <c r="A183" s="240"/>
      <c r="B183" s="243" t="s">
        <v>2</v>
      </c>
      <c r="C183" s="87">
        <v>2</v>
      </c>
      <c r="D183" s="62">
        <v>186.93980039999587</v>
      </c>
      <c r="E183" s="62">
        <v>10.385544466666438</v>
      </c>
      <c r="F183" s="62">
        <v>96.287681710825225</v>
      </c>
      <c r="G183" s="62">
        <v>2.9992224438534278</v>
      </c>
      <c r="H183" s="62">
        <v>9.40625</v>
      </c>
      <c r="I183" s="62">
        <v>4808.67578125</v>
      </c>
      <c r="J183" s="62">
        <v>4803.9924783909573</v>
      </c>
      <c r="K183" s="62">
        <v>4813.609375</v>
      </c>
      <c r="L183" s="62">
        <v>0</v>
      </c>
      <c r="M183" s="62">
        <v>4.93359375</v>
      </c>
      <c r="N183" s="62">
        <v>7236.58203125</v>
      </c>
      <c r="O183" s="62">
        <v>7238.5761210845158</v>
      </c>
      <c r="P183" s="62">
        <v>7238.58203125</v>
      </c>
      <c r="Q183" s="62">
        <v>1.994089834515762</v>
      </c>
      <c r="R183" s="62">
        <v>2</v>
      </c>
      <c r="S183" s="62">
        <v>99.736997635933804</v>
      </c>
      <c r="T183" s="62">
        <v>100</v>
      </c>
      <c r="U183" s="62">
        <v>51.843261820330966</v>
      </c>
      <c r="V183" s="62">
        <v>57.768000000000001</v>
      </c>
      <c r="W183" s="67">
        <v>2.6942821769090046</v>
      </c>
    </row>
    <row r="184" spans="1:23">
      <c r="A184" s="240"/>
      <c r="B184" s="243" t="s">
        <v>2</v>
      </c>
      <c r="C184" s="88">
        <v>3</v>
      </c>
      <c r="D184" s="61">
        <v>186.3959892999992</v>
      </c>
      <c r="E184" s="61">
        <v>10.355332738888844</v>
      </c>
      <c r="F184" s="61">
        <v>96.568601436104387</v>
      </c>
      <c r="G184" s="61">
        <v>3.0026664201183433</v>
      </c>
      <c r="H184" s="61">
        <v>11.096875000000001</v>
      </c>
      <c r="I184" s="61">
        <v>4803.6953125</v>
      </c>
      <c r="J184" s="61">
        <v>4803.969697670118</v>
      </c>
      <c r="K184" s="61">
        <v>4808.60546875</v>
      </c>
      <c r="L184" s="61">
        <v>0.27438517011796648</v>
      </c>
      <c r="M184" s="61">
        <v>4.91015625</v>
      </c>
      <c r="N184" s="61">
        <v>7236.58203125</v>
      </c>
      <c r="O184" s="61">
        <v>7238.5761140902368</v>
      </c>
      <c r="P184" s="61">
        <v>7238.58203125</v>
      </c>
      <c r="Q184" s="61">
        <v>1.9940828402368425</v>
      </c>
      <c r="R184" s="61">
        <v>2</v>
      </c>
      <c r="S184" s="61">
        <v>99.767455621301778</v>
      </c>
      <c r="T184" s="61">
        <v>100</v>
      </c>
      <c r="U184" s="61">
        <v>52.152624852071</v>
      </c>
      <c r="V184" s="61">
        <v>62.521999999999998</v>
      </c>
      <c r="W184" s="68">
        <v>2.7028267027114503</v>
      </c>
    </row>
    <row r="185" spans="1:23">
      <c r="A185" s="240"/>
      <c r="B185" s="243" t="s">
        <v>2</v>
      </c>
      <c r="C185" s="87">
        <v>4</v>
      </c>
      <c r="D185" s="62">
        <v>185.60389509999368</v>
      </c>
      <c r="E185" s="62">
        <v>10.311327505555203</v>
      </c>
      <c r="F185" s="62">
        <v>96.980723331816606</v>
      </c>
      <c r="G185" s="62">
        <v>3.0004509352731588</v>
      </c>
      <c r="H185" s="62">
        <v>11.646875</v>
      </c>
      <c r="I185" s="62">
        <v>4803.796875</v>
      </c>
      <c r="J185" s="62">
        <v>4804.03197836253</v>
      </c>
      <c r="K185" s="62">
        <v>4808.65625</v>
      </c>
      <c r="L185" s="62">
        <v>0.23510336253002606</v>
      </c>
      <c r="M185" s="62">
        <v>4.859375</v>
      </c>
      <c r="N185" s="62">
        <v>7236.58203125</v>
      </c>
      <c r="O185" s="62">
        <v>7238.5760930077195</v>
      </c>
      <c r="P185" s="62">
        <v>7238.58203125</v>
      </c>
      <c r="Q185" s="62">
        <v>1.9940617577194644</v>
      </c>
      <c r="R185" s="62">
        <v>2</v>
      </c>
      <c r="S185" s="62">
        <v>99.702494061757719</v>
      </c>
      <c r="T185" s="62">
        <v>100</v>
      </c>
      <c r="U185" s="62">
        <v>52.20417042755345</v>
      </c>
      <c r="V185" s="62">
        <v>65.852999999999994</v>
      </c>
      <c r="W185" s="67">
        <v>2.6935344781085004</v>
      </c>
    </row>
    <row r="186" spans="1:23" ht="14.5" thickBot="1">
      <c r="A186" s="240"/>
      <c r="B186" s="244" t="s">
        <v>2</v>
      </c>
      <c r="C186" s="88">
        <v>5</v>
      </c>
      <c r="D186" s="61">
        <v>190.1399373000022</v>
      </c>
      <c r="E186" s="61">
        <v>10.563329850000121</v>
      </c>
      <c r="F186" s="61">
        <v>94.667118626423317</v>
      </c>
      <c r="G186" s="61">
        <v>2.926211956521739</v>
      </c>
      <c r="H186" s="61">
        <v>8.8781250000000007</v>
      </c>
      <c r="I186" s="61">
        <v>4803.89453125</v>
      </c>
      <c r="J186" s="61">
        <v>3894.4627309782609</v>
      </c>
      <c r="K186" s="61">
        <v>4806.66015625</v>
      </c>
      <c r="L186" s="61">
        <v>0</v>
      </c>
      <c r="M186" s="61">
        <v>2.765625</v>
      </c>
      <c r="N186" s="61">
        <v>7236.58203125</v>
      </c>
      <c r="O186" s="61">
        <v>7238.5832857789856</v>
      </c>
      <c r="P186" s="61">
        <v>7238.59375</v>
      </c>
      <c r="Q186" s="61">
        <v>2.0012545289855552</v>
      </c>
      <c r="R186" s="61">
        <v>2.01171875</v>
      </c>
      <c r="S186" s="61">
        <v>99.766956521739132</v>
      </c>
      <c r="T186" s="61">
        <v>100</v>
      </c>
      <c r="U186" s="61">
        <v>51.286691014492746</v>
      </c>
      <c r="V186" s="61">
        <v>58.825000000000003</v>
      </c>
      <c r="W186" s="68">
        <v>2.7108101851548216</v>
      </c>
    </row>
    <row r="187" spans="1:23">
      <c r="A187" s="240"/>
      <c r="B187" s="245" t="s">
        <v>3</v>
      </c>
      <c r="C187" s="87">
        <v>1</v>
      </c>
      <c r="D187" s="62">
        <v>65.032600000002276</v>
      </c>
      <c r="E187" s="62">
        <v>10.909679583962804</v>
      </c>
      <c r="F187" s="62">
        <v>91.661720429442951</v>
      </c>
      <c r="G187" s="62">
        <v>2.8259921477079799</v>
      </c>
      <c r="H187" s="62">
        <v>8.9593749999999996</v>
      </c>
      <c r="I187" s="62">
        <v>2377.39453125</v>
      </c>
      <c r="J187" s="62">
        <v>2377.7792935589982</v>
      </c>
      <c r="K187" s="62">
        <v>2382.484375</v>
      </c>
      <c r="L187" s="62">
        <v>0.38476230899823349</v>
      </c>
      <c r="M187" s="62">
        <v>5.08984375</v>
      </c>
      <c r="N187" s="62">
        <v>6641.109375</v>
      </c>
      <c r="O187" s="62">
        <v>7325.000716256367</v>
      </c>
      <c r="P187" s="62">
        <v>7395.109375</v>
      </c>
      <c r="Q187" s="62">
        <v>683.89134125636701</v>
      </c>
      <c r="R187" s="62">
        <v>754</v>
      </c>
      <c r="S187" s="62">
        <v>98.976230899830227</v>
      </c>
      <c r="T187" s="62">
        <v>100</v>
      </c>
      <c r="U187" s="62">
        <v>48.548499151103563</v>
      </c>
      <c r="V187" s="62">
        <v>64.367999999999995</v>
      </c>
      <c r="W187" s="67">
        <v>0.87895563979443236</v>
      </c>
    </row>
    <row r="188" spans="1:23">
      <c r="A188" s="240"/>
      <c r="B188" s="245" t="s">
        <v>3</v>
      </c>
      <c r="C188" s="88">
        <v>2</v>
      </c>
      <c r="D188" s="61">
        <v>63.716711000000942</v>
      </c>
      <c r="E188" s="61">
        <v>10.688929877537483</v>
      </c>
      <c r="F188" s="61">
        <v>93.554734801046337</v>
      </c>
      <c r="G188" s="61">
        <v>2.8286809153713302</v>
      </c>
      <c r="H188" s="61">
        <v>10.653124999999999</v>
      </c>
      <c r="I188" s="61">
        <v>2378.3359375</v>
      </c>
      <c r="J188" s="61">
        <v>2378.6743712219345</v>
      </c>
      <c r="K188" s="61">
        <v>2383.3203125</v>
      </c>
      <c r="L188" s="61">
        <v>0.33843372193450705</v>
      </c>
      <c r="M188" s="61">
        <v>4.984375</v>
      </c>
      <c r="N188" s="61">
        <v>7389.109375</v>
      </c>
      <c r="O188" s="61">
        <v>7391.1024665371333</v>
      </c>
      <c r="P188" s="61">
        <v>7395.109375</v>
      </c>
      <c r="Q188" s="61">
        <v>1.9930915371332958</v>
      </c>
      <c r="R188" s="61">
        <v>6</v>
      </c>
      <c r="S188" s="61">
        <v>99.43696027633851</v>
      </c>
      <c r="T188" s="61">
        <v>100</v>
      </c>
      <c r="U188" s="61">
        <v>50.355281519861826</v>
      </c>
      <c r="V188" s="61">
        <v>59.898000000000003</v>
      </c>
      <c r="W188" s="68">
        <v>0.89305756383124701</v>
      </c>
    </row>
    <row r="189" spans="1:23">
      <c r="A189" s="240"/>
      <c r="B189" s="245" t="s">
        <v>3</v>
      </c>
      <c r="C189" s="87">
        <v>3</v>
      </c>
      <c r="D189" s="62">
        <v>65.334618500000943</v>
      </c>
      <c r="E189" s="62">
        <v>10.960345327965264</v>
      </c>
      <c r="F189" s="62">
        <v>91.238001183092763</v>
      </c>
      <c r="G189" s="62">
        <v>2.8985718802698144</v>
      </c>
      <c r="H189" s="62">
        <v>12.09375</v>
      </c>
      <c r="I189" s="62">
        <v>2378.53125</v>
      </c>
      <c r="J189" s="62">
        <v>2378.809002160624</v>
      </c>
      <c r="K189" s="62">
        <v>2383.42578125</v>
      </c>
      <c r="L189" s="62">
        <v>0.27775216062400432</v>
      </c>
      <c r="M189" s="62">
        <v>4.89453125</v>
      </c>
      <c r="N189" s="62">
        <v>7389.109375</v>
      </c>
      <c r="O189" s="62">
        <v>7391.0992569561549</v>
      </c>
      <c r="P189" s="62">
        <v>7395.109375</v>
      </c>
      <c r="Q189" s="62">
        <v>1.9898819561549317</v>
      </c>
      <c r="R189" s="62">
        <v>6</v>
      </c>
      <c r="S189" s="62">
        <v>99.377740303541316</v>
      </c>
      <c r="T189" s="62">
        <v>100</v>
      </c>
      <c r="U189" s="62">
        <v>48.325278246205734</v>
      </c>
      <c r="V189" s="62">
        <v>60.581000000000003</v>
      </c>
      <c r="W189" s="67">
        <v>0.87893319200264441</v>
      </c>
    </row>
    <row r="190" spans="1:23">
      <c r="A190" s="240"/>
      <c r="B190" s="245" t="s">
        <v>3</v>
      </c>
      <c r="C190" s="88">
        <v>4</v>
      </c>
      <c r="D190" s="61">
        <v>66.433930200000759</v>
      </c>
      <c r="E190" s="61">
        <v>11.144762657272397</v>
      </c>
      <c r="F190" s="61">
        <v>89.72824552234502</v>
      </c>
      <c r="G190" s="61">
        <v>2.9346553156146178</v>
      </c>
      <c r="H190" s="61">
        <v>8.9593749999999996</v>
      </c>
      <c r="I190" s="61">
        <v>2378.64453125</v>
      </c>
      <c r="J190" s="61">
        <v>2378.8917151162791</v>
      </c>
      <c r="K190" s="61">
        <v>2383.5234375</v>
      </c>
      <c r="L190" s="61">
        <v>0.24718386627910149</v>
      </c>
      <c r="M190" s="61">
        <v>4.87890625</v>
      </c>
      <c r="N190" s="61">
        <v>7389.109375</v>
      </c>
      <c r="O190" s="61">
        <v>7391.109375</v>
      </c>
      <c r="P190" s="61">
        <v>7395.109375</v>
      </c>
      <c r="Q190" s="61">
        <v>2</v>
      </c>
      <c r="R190" s="61">
        <v>6</v>
      </c>
      <c r="S190" s="61">
        <v>99.465116279069761</v>
      </c>
      <c r="T190" s="61">
        <v>100</v>
      </c>
      <c r="U190" s="61">
        <v>47.11339036544851</v>
      </c>
      <c r="V190" s="61">
        <v>54.816000000000003</v>
      </c>
      <c r="W190" s="68">
        <v>0.87135769313569778</v>
      </c>
    </row>
    <row r="191" spans="1:23" ht="14.5" thickBot="1">
      <c r="A191" s="240"/>
      <c r="B191" s="245" t="s">
        <v>3</v>
      </c>
      <c r="C191" s="87">
        <v>5</v>
      </c>
      <c r="D191" s="62">
        <v>66.227639499997167</v>
      </c>
      <c r="E191" s="62">
        <v>11.110155930212578</v>
      </c>
      <c r="F191" s="62">
        <v>90.007737630453448</v>
      </c>
      <c r="G191" s="62">
        <v>2.8083661009933776</v>
      </c>
      <c r="H191" s="62">
        <v>10.15625</v>
      </c>
      <c r="I191" s="62">
        <v>2378.7421875</v>
      </c>
      <c r="J191" s="62">
        <v>2378.9389034043875</v>
      </c>
      <c r="K191" s="62">
        <v>2383.5703125</v>
      </c>
      <c r="L191" s="62">
        <v>0.19671590438747444</v>
      </c>
      <c r="M191" s="62">
        <v>4.828125</v>
      </c>
      <c r="N191" s="62">
        <v>7389.109375</v>
      </c>
      <c r="O191" s="62">
        <v>7391.096129966887</v>
      </c>
      <c r="P191" s="62">
        <v>7395.109375</v>
      </c>
      <c r="Q191" s="62">
        <v>1.9867549668870197</v>
      </c>
      <c r="R191" s="62">
        <v>6</v>
      </c>
      <c r="S191" s="62">
        <v>99.418874172185426</v>
      </c>
      <c r="T191" s="62">
        <v>100</v>
      </c>
      <c r="U191" s="62">
        <v>47.879501655629134</v>
      </c>
      <c r="V191" s="62">
        <v>54.817</v>
      </c>
      <c r="W191" s="67">
        <v>0.88274837082825619</v>
      </c>
    </row>
    <row r="192" spans="1:23">
      <c r="A192" s="240"/>
      <c r="B192" s="242" t="s">
        <v>4</v>
      </c>
      <c r="C192" s="88">
        <v>1</v>
      </c>
      <c r="D192" s="61">
        <v>30.064794799998708</v>
      </c>
      <c r="E192" s="61">
        <v>10.021598266666235</v>
      </c>
      <c r="F192" s="61">
        <v>99.784482813105015</v>
      </c>
      <c r="G192" s="61">
        <v>3.0695795454545456</v>
      </c>
      <c r="H192" s="61">
        <v>7.9906249999999996</v>
      </c>
      <c r="I192" s="61">
        <v>7085.6171875</v>
      </c>
      <c r="J192" s="61">
        <v>7067.4165909090907</v>
      </c>
      <c r="K192" s="61">
        <v>7086.71484375</v>
      </c>
      <c r="L192" s="61">
        <v>0</v>
      </c>
      <c r="M192" s="61">
        <v>1.09765625</v>
      </c>
      <c r="N192" s="61">
        <v>6660.5703125</v>
      </c>
      <c r="O192" s="61">
        <v>7310.9921306818178</v>
      </c>
      <c r="P192" s="61">
        <v>7342.5703125</v>
      </c>
      <c r="Q192" s="61">
        <v>650.4218181818178</v>
      </c>
      <c r="R192" s="61">
        <v>682</v>
      </c>
      <c r="S192" s="61">
        <v>97.99636363636364</v>
      </c>
      <c r="T192" s="61">
        <v>100</v>
      </c>
      <c r="U192" s="61">
        <v>51.582905454545454</v>
      </c>
      <c r="V192" s="61">
        <v>64.055000000000007</v>
      </c>
      <c r="W192" s="68">
        <v>0.43284319019118961</v>
      </c>
    </row>
    <row r="193" spans="1:23">
      <c r="A193" s="240"/>
      <c r="B193" s="243" t="s">
        <v>4</v>
      </c>
      <c r="C193" s="87">
        <v>2</v>
      </c>
      <c r="D193" s="62">
        <v>29.893116499999451</v>
      </c>
      <c r="E193" s="62">
        <v>9.9643721666664842</v>
      </c>
      <c r="F193" s="62">
        <v>100.35755221440544</v>
      </c>
      <c r="G193" s="62">
        <v>3.0150641025641023</v>
      </c>
      <c r="H193" s="62">
        <v>8.4343749999999993</v>
      </c>
      <c r="I193" s="62">
        <v>7048.13671875</v>
      </c>
      <c r="J193" s="62">
        <v>7030.1468063186812</v>
      </c>
      <c r="K193" s="62">
        <v>7050.60546875</v>
      </c>
      <c r="L193" s="62">
        <v>0</v>
      </c>
      <c r="M193" s="62">
        <v>2.46875</v>
      </c>
      <c r="N193" s="62">
        <v>7336.5703125</v>
      </c>
      <c r="O193" s="62">
        <v>7338.5483344780223</v>
      </c>
      <c r="P193" s="62">
        <v>7342.5703125</v>
      </c>
      <c r="Q193" s="62">
        <v>1.9780219780222978</v>
      </c>
      <c r="R193" s="62">
        <v>6</v>
      </c>
      <c r="S193" s="62">
        <v>98.571428571428569</v>
      </c>
      <c r="T193" s="62">
        <v>100</v>
      </c>
      <c r="U193" s="62">
        <v>51.964534798534793</v>
      </c>
      <c r="V193" s="62">
        <v>59.359000000000002</v>
      </c>
      <c r="W193" s="67">
        <v>0.43353620278004867</v>
      </c>
    </row>
    <row r="194" spans="1:23">
      <c r="A194" s="240"/>
      <c r="B194" s="243" t="s">
        <v>4</v>
      </c>
      <c r="C194" s="88">
        <v>3</v>
      </c>
      <c r="D194" s="61">
        <v>29.998427499998797</v>
      </c>
      <c r="E194" s="61">
        <v>9.9994758333329337</v>
      </c>
      <c r="F194" s="61">
        <v>100.00524194143577</v>
      </c>
      <c r="G194" s="61">
        <v>3.1505608974358972</v>
      </c>
      <c r="H194" s="61">
        <v>7.6156249999999996</v>
      </c>
      <c r="I194" s="61">
        <v>7002.15234375</v>
      </c>
      <c r="J194" s="61">
        <v>6972.9854624542122</v>
      </c>
      <c r="K194" s="61">
        <v>7006.015625</v>
      </c>
      <c r="L194" s="61">
        <v>0</v>
      </c>
      <c r="M194" s="61">
        <v>3.86328125</v>
      </c>
      <c r="N194" s="61">
        <v>7336.5703125</v>
      </c>
      <c r="O194" s="61">
        <v>7338.5483344780223</v>
      </c>
      <c r="P194" s="61">
        <v>7342.5703125</v>
      </c>
      <c r="Q194" s="61">
        <v>1.9780219780222978</v>
      </c>
      <c r="R194" s="61">
        <v>6</v>
      </c>
      <c r="S194" s="61">
        <v>98.652014652014657</v>
      </c>
      <c r="T194" s="61">
        <v>100</v>
      </c>
      <c r="U194" s="61">
        <v>51.379992673992682</v>
      </c>
      <c r="V194" s="61">
        <v>59.252000000000002</v>
      </c>
      <c r="W194" s="68">
        <v>0.43024989904137595</v>
      </c>
    </row>
    <row r="195" spans="1:23">
      <c r="A195" s="240"/>
      <c r="B195" s="243" t="s">
        <v>4</v>
      </c>
      <c r="C195" s="87">
        <v>4</v>
      </c>
      <c r="D195" s="62">
        <v>30.152277699999104</v>
      </c>
      <c r="E195" s="62">
        <v>10.050759233333034</v>
      </c>
      <c r="F195" s="62">
        <v>99.494971154371171</v>
      </c>
      <c r="G195" s="62">
        <v>3.1861704545454548</v>
      </c>
      <c r="H195" s="62">
        <v>9.8562499999999993</v>
      </c>
      <c r="I195" s="62">
        <v>6917.7734375</v>
      </c>
      <c r="J195" s="62">
        <v>6918.0536079545454</v>
      </c>
      <c r="K195" s="62">
        <v>6921.71484375</v>
      </c>
      <c r="L195" s="62">
        <v>0.28017045454544132</v>
      </c>
      <c r="M195" s="62">
        <v>3.94140625</v>
      </c>
      <c r="N195" s="62">
        <v>7336.5703125</v>
      </c>
      <c r="O195" s="62">
        <v>7338.5484943181818</v>
      </c>
      <c r="P195" s="62">
        <v>7342.5703125</v>
      </c>
      <c r="Q195" s="62">
        <v>1.978181818181838</v>
      </c>
      <c r="R195" s="62">
        <v>6</v>
      </c>
      <c r="S195" s="62">
        <v>98.570909090909097</v>
      </c>
      <c r="T195" s="62">
        <v>100</v>
      </c>
      <c r="U195" s="62">
        <v>51.073396363636363</v>
      </c>
      <c r="V195" s="62">
        <v>59.295000000000002</v>
      </c>
      <c r="W195" s="67">
        <v>0.42986623171708804</v>
      </c>
    </row>
    <row r="196" spans="1:23" ht="14.5" thickBot="1">
      <c r="A196" s="240"/>
      <c r="B196" s="244" t="s">
        <v>4</v>
      </c>
      <c r="C196" s="88">
        <v>5</v>
      </c>
      <c r="D196" s="61">
        <v>29.86290469999949</v>
      </c>
      <c r="E196" s="61">
        <v>9.9543015666664978</v>
      </c>
      <c r="F196" s="61">
        <v>100.45908226737406</v>
      </c>
      <c r="G196" s="61">
        <v>3.1190831801470589</v>
      </c>
      <c r="H196" s="61">
        <v>8.5124999999999993</v>
      </c>
      <c r="I196" s="61">
        <v>6917.86328125</v>
      </c>
      <c r="J196" s="61">
        <v>6918.0549029181984</v>
      </c>
      <c r="K196" s="61">
        <v>6922.68359375</v>
      </c>
      <c r="L196" s="61">
        <v>0.19162166819842241</v>
      </c>
      <c r="M196" s="61">
        <v>4.8203125</v>
      </c>
      <c r="N196" s="61">
        <v>7336.5703125</v>
      </c>
      <c r="O196" s="61">
        <v>7338.5556066176468</v>
      </c>
      <c r="P196" s="61">
        <v>7342.5703125</v>
      </c>
      <c r="Q196" s="61">
        <v>1.9852941176468448</v>
      </c>
      <c r="R196" s="61">
        <v>6</v>
      </c>
      <c r="S196" s="61">
        <v>98.474264705882348</v>
      </c>
      <c r="T196" s="61">
        <v>100</v>
      </c>
      <c r="U196" s="61">
        <v>52.041797794117649</v>
      </c>
      <c r="V196" s="61">
        <v>59.999000000000002</v>
      </c>
      <c r="W196" s="68">
        <v>0.43371390320175757</v>
      </c>
    </row>
    <row r="197" spans="1:23">
      <c r="A197" s="240"/>
      <c r="B197" s="246" t="s">
        <v>5</v>
      </c>
      <c r="C197" s="87">
        <v>1</v>
      </c>
      <c r="D197" s="62">
        <v>25.281344799999715</v>
      </c>
      <c r="E197" s="62">
        <v>10.214684767676653</v>
      </c>
      <c r="F197" s="62">
        <v>97.898273196290887</v>
      </c>
      <c r="G197" s="62">
        <v>2.7520608836206897</v>
      </c>
      <c r="H197" s="62">
        <v>7.1687500000000002</v>
      </c>
      <c r="I197" s="62">
        <v>6441.84765625</v>
      </c>
      <c r="J197" s="62">
        <v>6426.7353852370688</v>
      </c>
      <c r="K197" s="62">
        <v>6442.05078125</v>
      </c>
      <c r="L197" s="62">
        <v>0</v>
      </c>
      <c r="M197" s="62">
        <v>0.203125</v>
      </c>
      <c r="N197" s="62">
        <v>6568.2578125</v>
      </c>
      <c r="O197" s="62">
        <v>7161.6802262931033</v>
      </c>
      <c r="P197" s="62">
        <v>7342.2578125</v>
      </c>
      <c r="Q197" s="62">
        <v>593.42241379310326</v>
      </c>
      <c r="R197" s="62">
        <v>774</v>
      </c>
      <c r="S197" s="62">
        <v>97.435344827586206</v>
      </c>
      <c r="T197" s="62">
        <v>100</v>
      </c>
      <c r="U197" s="62">
        <v>50.37663362068966</v>
      </c>
      <c r="V197" s="62">
        <v>68.984999999999999</v>
      </c>
      <c r="W197" s="67">
        <v>0.35606873700059422</v>
      </c>
    </row>
    <row r="198" spans="1:23">
      <c r="A198" s="240"/>
      <c r="B198" s="245" t="s">
        <v>5</v>
      </c>
      <c r="C198" s="88">
        <v>2</v>
      </c>
      <c r="D198" s="61">
        <v>24.769552499999918</v>
      </c>
      <c r="E198" s="61">
        <v>10.007899999999967</v>
      </c>
      <c r="F198" s="61">
        <v>99.921062360735348</v>
      </c>
      <c r="G198" s="61">
        <v>2.9932245575221246</v>
      </c>
      <c r="H198" s="61">
        <v>8.8781250000000007</v>
      </c>
      <c r="I198" s="61">
        <v>6410.328125</v>
      </c>
      <c r="J198" s="61">
        <v>6388.8273817754425</v>
      </c>
      <c r="K198" s="61">
        <v>6414.328125</v>
      </c>
      <c r="L198" s="61">
        <v>0</v>
      </c>
      <c r="M198" s="61">
        <v>4</v>
      </c>
      <c r="N198" s="61">
        <v>7334.2578125</v>
      </c>
      <c r="O198" s="61">
        <v>7336.2401133849562</v>
      </c>
      <c r="P198" s="61">
        <v>7342.2578125</v>
      </c>
      <c r="Q198" s="61">
        <v>1.9823008849562029</v>
      </c>
      <c r="R198" s="61">
        <v>8</v>
      </c>
      <c r="S198" s="61">
        <v>98.238938053097343</v>
      </c>
      <c r="T198" s="61">
        <v>100</v>
      </c>
      <c r="U198" s="61">
        <v>51.636305309734517</v>
      </c>
      <c r="V198" s="61">
        <v>58.575000000000003</v>
      </c>
      <c r="W198" s="68">
        <v>0.35729082215232028</v>
      </c>
    </row>
    <row r="199" spans="1:23">
      <c r="A199" s="240"/>
      <c r="B199" s="245" t="s">
        <v>5</v>
      </c>
      <c r="C199" s="87">
        <v>3</v>
      </c>
      <c r="D199" s="62">
        <v>24.716588000000229</v>
      </c>
      <c r="E199" s="62">
        <v>9.9865002020202951</v>
      </c>
      <c r="F199" s="62">
        <v>100.13518047070158</v>
      </c>
      <c r="G199" s="62">
        <v>3.1436117256637166</v>
      </c>
      <c r="H199" s="62">
        <v>7.546875</v>
      </c>
      <c r="I199" s="62">
        <v>6354.3828125</v>
      </c>
      <c r="J199" s="62">
        <v>6173.5570208794252</v>
      </c>
      <c r="K199" s="62">
        <v>6354.5078125</v>
      </c>
      <c r="L199" s="62">
        <v>0</v>
      </c>
      <c r="M199" s="62">
        <v>0.125</v>
      </c>
      <c r="N199" s="62">
        <v>7334.2578125</v>
      </c>
      <c r="O199" s="62">
        <v>7336.2489629424781</v>
      </c>
      <c r="P199" s="62">
        <v>7342.2578125</v>
      </c>
      <c r="Q199" s="62">
        <v>1.9911504424781015</v>
      </c>
      <c r="R199" s="62">
        <v>8</v>
      </c>
      <c r="S199" s="62">
        <v>98.548672566371678</v>
      </c>
      <c r="T199" s="62">
        <v>100</v>
      </c>
      <c r="U199" s="62">
        <v>51.812694690265488</v>
      </c>
      <c r="V199" s="62">
        <v>61.267000000000003</v>
      </c>
      <c r="W199" s="67">
        <v>0.35776083138493381</v>
      </c>
    </row>
    <row r="200" spans="1:23">
      <c r="A200" s="240"/>
      <c r="B200" s="245" t="s">
        <v>5</v>
      </c>
      <c r="C200" s="88">
        <v>4</v>
      </c>
      <c r="D200" s="61">
        <v>24.978379500000301</v>
      </c>
      <c r="E200" s="61">
        <v>10.092274545454668</v>
      </c>
      <c r="F200" s="61">
        <v>99.085691287538097</v>
      </c>
      <c r="G200" s="61">
        <v>2.9105263157894741</v>
      </c>
      <c r="H200" s="61">
        <v>8.4343749999999993</v>
      </c>
      <c r="I200" s="61">
        <v>5907.91015625</v>
      </c>
      <c r="J200" s="61">
        <v>5908.0946580317986</v>
      </c>
      <c r="K200" s="61">
        <v>5912.7265625</v>
      </c>
      <c r="L200" s="61">
        <v>0.18450178179864452</v>
      </c>
      <c r="M200" s="61">
        <v>4.81640625</v>
      </c>
      <c r="N200" s="61">
        <v>7334.2578125</v>
      </c>
      <c r="O200" s="61">
        <v>7336.2402686403511</v>
      </c>
      <c r="P200" s="61">
        <v>7342.2578125</v>
      </c>
      <c r="Q200" s="61">
        <v>1.9824561403511325</v>
      </c>
      <c r="R200" s="61">
        <v>8</v>
      </c>
      <c r="S200" s="61">
        <v>98.385964912280699</v>
      </c>
      <c r="T200" s="61">
        <v>100</v>
      </c>
      <c r="U200" s="61">
        <v>50.765723684210521</v>
      </c>
      <c r="V200" s="61">
        <v>58.427</v>
      </c>
      <c r="W200" s="68">
        <v>0.35439567350136369</v>
      </c>
    </row>
    <row r="201" spans="1:23" ht="14.5" thickBot="1">
      <c r="A201" s="241"/>
      <c r="B201" s="247" t="s">
        <v>5</v>
      </c>
      <c r="C201" s="89">
        <v>5</v>
      </c>
      <c r="D201" s="74">
        <v>25.120902399999977</v>
      </c>
      <c r="E201" s="74">
        <v>10.149859555555548</v>
      </c>
      <c r="F201" s="74">
        <v>98.523530747048412</v>
      </c>
      <c r="G201" s="74">
        <v>3.0400382096069869</v>
      </c>
      <c r="H201" s="74">
        <v>8.8781250000000007</v>
      </c>
      <c r="I201" s="74">
        <v>5907.93359375</v>
      </c>
      <c r="J201" s="74">
        <v>5908.4304892194323</v>
      </c>
      <c r="K201" s="74">
        <v>5913.03515625</v>
      </c>
      <c r="L201" s="74">
        <v>0.49689546943227469</v>
      </c>
      <c r="M201" s="74">
        <v>5.1015625</v>
      </c>
      <c r="N201" s="74">
        <v>7334.2578125</v>
      </c>
      <c r="O201" s="74">
        <v>7336.2403452510916</v>
      </c>
      <c r="P201" s="74">
        <v>7342.2578125</v>
      </c>
      <c r="Q201" s="74">
        <v>1.9825327510916395</v>
      </c>
      <c r="R201" s="74">
        <v>8</v>
      </c>
      <c r="S201" s="74">
        <v>98.296943231441048</v>
      </c>
      <c r="T201" s="74">
        <v>100</v>
      </c>
      <c r="U201" s="74">
        <v>50.276567685589512</v>
      </c>
      <c r="V201" s="74">
        <v>56.776000000000003</v>
      </c>
      <c r="W201" s="75">
        <v>0.35279170205407961</v>
      </c>
    </row>
    <row r="202" spans="1:23">
      <c r="A202" s="239" t="s">
        <v>85</v>
      </c>
      <c r="B202" s="252" t="s">
        <v>2</v>
      </c>
      <c r="C202" s="237">
        <v>1</v>
      </c>
      <c r="D202" s="65">
        <v>209.03775879999921</v>
      </c>
      <c r="E202" s="65">
        <v>11.613208822222179</v>
      </c>
      <c r="F202" s="65">
        <v>86.108845135590244</v>
      </c>
      <c r="G202" s="65">
        <v>2.5652741825613079</v>
      </c>
      <c r="H202" s="65">
        <v>6.71875</v>
      </c>
      <c r="I202" s="65">
        <v>5250.00390625</v>
      </c>
      <c r="J202" s="65">
        <v>5260.0107118528613</v>
      </c>
      <c r="K202" s="65">
        <v>5265.44140625</v>
      </c>
      <c r="L202" s="65">
        <v>10.006805602861277</v>
      </c>
      <c r="M202" s="65">
        <v>15.4375</v>
      </c>
      <c r="N202" s="65">
        <v>3546.3984375</v>
      </c>
      <c r="O202" s="65">
        <v>3666.2022522138964</v>
      </c>
      <c r="P202" s="65">
        <v>3666.3984375</v>
      </c>
      <c r="Q202" s="65">
        <v>119.80381471389637</v>
      </c>
      <c r="R202" s="65">
        <v>120</v>
      </c>
      <c r="S202" s="65">
        <v>34.21525885558583</v>
      </c>
      <c r="T202" s="65">
        <v>100</v>
      </c>
      <c r="U202" s="65">
        <v>48.200040326975476</v>
      </c>
      <c r="V202" s="65">
        <v>140.54400000000001</v>
      </c>
      <c r="W202" s="66">
        <v>2.809688310367866</v>
      </c>
    </row>
    <row r="203" spans="1:23">
      <c r="A203" s="240"/>
      <c r="B203" s="253" t="s">
        <v>2</v>
      </c>
      <c r="C203" s="85">
        <v>2</v>
      </c>
      <c r="D203" s="62">
        <v>239.54195110000001</v>
      </c>
      <c r="E203" s="62">
        <v>13.307886172222222</v>
      </c>
      <c r="F203" s="62">
        <v>75.143413992172327</v>
      </c>
      <c r="G203" s="62">
        <v>2.513208099250936</v>
      </c>
      <c r="H203" s="62">
        <v>6.3</v>
      </c>
      <c r="I203" s="62">
        <v>5261.19140625</v>
      </c>
      <c r="J203" s="62">
        <v>5261.9278221558989</v>
      </c>
      <c r="K203" s="62">
        <v>5266.7109375</v>
      </c>
      <c r="L203" s="62">
        <v>0.73641590589886619</v>
      </c>
      <c r="M203" s="62">
        <v>5.51953125</v>
      </c>
      <c r="N203" s="62">
        <v>3546.3984375</v>
      </c>
      <c r="O203" s="62">
        <v>3666.2298981741574</v>
      </c>
      <c r="P203" s="62">
        <v>3666.3984375</v>
      </c>
      <c r="Q203" s="62">
        <v>119.83146067415737</v>
      </c>
      <c r="R203" s="62">
        <v>120</v>
      </c>
      <c r="S203" s="62">
        <v>33.713483146067418</v>
      </c>
      <c r="T203" s="62">
        <v>100</v>
      </c>
      <c r="U203" s="62">
        <v>37.90443398876404</v>
      </c>
      <c r="V203" s="62">
        <v>134.90799999999999</v>
      </c>
      <c r="W203" s="67">
        <v>2.532868692385231</v>
      </c>
    </row>
    <row r="204" spans="1:23">
      <c r="A204" s="240"/>
      <c r="B204" s="253" t="s">
        <v>2</v>
      </c>
      <c r="C204" s="84">
        <v>3</v>
      </c>
      <c r="D204" s="61">
        <v>223.8392133999987</v>
      </c>
      <c r="E204" s="61">
        <v>12.435511855555484</v>
      </c>
      <c r="F204" s="61">
        <v>80.414864431435248</v>
      </c>
      <c r="G204" s="61">
        <v>2.5570067122593718</v>
      </c>
      <c r="H204" s="61">
        <v>7.6156249999999996</v>
      </c>
      <c r="I204" s="61">
        <v>5262.1171875</v>
      </c>
      <c r="J204" s="61">
        <v>5204.2083709314838</v>
      </c>
      <c r="K204" s="61">
        <v>5266.95703125</v>
      </c>
      <c r="L204" s="61">
        <v>0</v>
      </c>
      <c r="M204" s="61">
        <v>4.83984375</v>
      </c>
      <c r="N204" s="61">
        <v>3546.3984375</v>
      </c>
      <c r="O204" s="61">
        <v>3666.2160666793311</v>
      </c>
      <c r="P204" s="61">
        <v>3666.3984375</v>
      </c>
      <c r="Q204" s="61">
        <v>119.81762917933111</v>
      </c>
      <c r="R204" s="61">
        <v>120</v>
      </c>
      <c r="S204" s="61">
        <v>34.587639311043567</v>
      </c>
      <c r="T204" s="61">
        <v>100</v>
      </c>
      <c r="U204" s="61">
        <v>41.899254812563321</v>
      </c>
      <c r="V204" s="61">
        <v>143.315</v>
      </c>
      <c r="W204" s="68">
        <v>2.613988271307301</v>
      </c>
    </row>
    <row r="205" spans="1:23">
      <c r="A205" s="240"/>
      <c r="B205" s="253" t="s">
        <v>2</v>
      </c>
      <c r="C205" s="85">
        <v>4</v>
      </c>
      <c r="D205" s="62">
        <v>198.57951139999932</v>
      </c>
      <c r="E205" s="62">
        <v>11.032195077777741</v>
      </c>
      <c r="F205" s="62">
        <v>90.643792368602135</v>
      </c>
      <c r="G205" s="62">
        <v>2.5995569994093319</v>
      </c>
      <c r="H205" s="62">
        <v>5.859375</v>
      </c>
      <c r="I205" s="62">
        <v>5138.390625</v>
      </c>
      <c r="J205" s="62">
        <v>5115.3569454186354</v>
      </c>
      <c r="K205" s="62">
        <v>5143.21484375</v>
      </c>
      <c r="L205" s="62">
        <v>0</v>
      </c>
      <c r="M205" s="62">
        <v>4.82421875</v>
      </c>
      <c r="N205" s="62">
        <v>3546.3984375</v>
      </c>
      <c r="O205" s="62">
        <v>3666.1857972164798</v>
      </c>
      <c r="P205" s="62">
        <v>3666.3984375</v>
      </c>
      <c r="Q205" s="62">
        <v>119.78735971647984</v>
      </c>
      <c r="R205" s="62">
        <v>120</v>
      </c>
      <c r="S205" s="62">
        <v>34.300059066745419</v>
      </c>
      <c r="T205" s="62">
        <v>79</v>
      </c>
      <c r="U205" s="62">
        <v>51.110248670998224</v>
      </c>
      <c r="V205" s="62">
        <v>145.018</v>
      </c>
      <c r="W205" s="67">
        <v>2.8358467125666924</v>
      </c>
    </row>
    <row r="206" spans="1:23" ht="14.5" thickBot="1">
      <c r="A206" s="240"/>
      <c r="B206" s="254" t="s">
        <v>2</v>
      </c>
      <c r="C206" s="84">
        <v>5</v>
      </c>
      <c r="D206" s="61">
        <v>183.04029760000049</v>
      </c>
      <c r="E206" s="61">
        <v>10.168905422222249</v>
      </c>
      <c r="F206" s="61">
        <v>98.33900095232336</v>
      </c>
      <c r="G206" s="61">
        <v>2.6277802708877287</v>
      </c>
      <c r="H206" s="61">
        <v>5.859375</v>
      </c>
      <c r="I206" s="61">
        <v>4535.74609375</v>
      </c>
      <c r="J206" s="61">
        <v>4536.0388457694189</v>
      </c>
      <c r="K206" s="61">
        <v>4540.67578125</v>
      </c>
      <c r="L206" s="61">
        <v>0.29275201941891282</v>
      </c>
      <c r="M206" s="61">
        <v>4.9296875</v>
      </c>
      <c r="N206" s="61">
        <v>3546.3984375</v>
      </c>
      <c r="O206" s="61">
        <v>3666.1634505548304</v>
      </c>
      <c r="P206" s="61">
        <v>3666.3984375</v>
      </c>
      <c r="Q206" s="61">
        <v>119.76501305483043</v>
      </c>
      <c r="R206" s="61">
        <v>120</v>
      </c>
      <c r="S206" s="61">
        <v>34.105744125326368</v>
      </c>
      <c r="T206" s="61">
        <v>100</v>
      </c>
      <c r="U206" s="61">
        <v>57.520577023498696</v>
      </c>
      <c r="V206" s="61">
        <v>148.214</v>
      </c>
      <c r="W206" s="68">
        <v>2.9272263350271919</v>
      </c>
    </row>
    <row r="207" spans="1:23">
      <c r="A207" s="240"/>
      <c r="B207" s="255" t="s">
        <v>3</v>
      </c>
      <c r="C207" s="85">
        <v>1</v>
      </c>
      <c r="D207" s="62">
        <v>56.349820999999793</v>
      </c>
      <c r="E207" s="62">
        <v>9.4530818654587812</v>
      </c>
      <c r="F207" s="62">
        <v>105.78560666590266</v>
      </c>
      <c r="G207" s="62">
        <v>2.7039882226980727</v>
      </c>
      <c r="H207" s="62">
        <v>6.7531249999999998</v>
      </c>
      <c r="I207" s="62">
        <v>1970.25390625</v>
      </c>
      <c r="J207" s="62">
        <v>1975.2172360144539</v>
      </c>
      <c r="K207" s="62">
        <v>1979.125</v>
      </c>
      <c r="L207" s="62">
        <v>4.9633297644538743</v>
      </c>
      <c r="M207" s="62">
        <v>8.87109375</v>
      </c>
      <c r="N207" s="62">
        <v>3899.2734375</v>
      </c>
      <c r="O207" s="62">
        <v>3946.9650863222696</v>
      </c>
      <c r="P207" s="62">
        <v>3947.2734375</v>
      </c>
      <c r="Q207" s="62">
        <v>47.691648822269599</v>
      </c>
      <c r="R207" s="62">
        <v>48</v>
      </c>
      <c r="S207" s="62">
        <v>34.13276231263383</v>
      </c>
      <c r="T207" s="62">
        <v>100</v>
      </c>
      <c r="U207" s="62">
        <v>58.661256959314777</v>
      </c>
      <c r="V207" s="62">
        <v>143.566</v>
      </c>
      <c r="W207" s="67">
        <v>0.92151522679648123</v>
      </c>
    </row>
    <row r="208" spans="1:23">
      <c r="A208" s="240"/>
      <c r="B208" s="255" t="s">
        <v>3</v>
      </c>
      <c r="C208" s="84">
        <v>2</v>
      </c>
      <c r="D208" s="61">
        <v>60.537252200001603</v>
      </c>
      <c r="E208" s="61">
        <v>10.155553128669956</v>
      </c>
      <c r="F208" s="61">
        <v>98.468294865881646</v>
      </c>
      <c r="G208" s="61">
        <v>2.6954478346456692</v>
      </c>
      <c r="H208" s="61">
        <v>5.859375</v>
      </c>
      <c r="I208" s="61">
        <v>1975.33984375</v>
      </c>
      <c r="J208" s="61">
        <v>1975.8713782603347</v>
      </c>
      <c r="K208" s="61">
        <v>1980.52734375</v>
      </c>
      <c r="L208" s="61">
        <v>0.53153451033472265</v>
      </c>
      <c r="M208" s="61">
        <v>5.1875</v>
      </c>
      <c r="N208" s="61">
        <v>3899.2734375</v>
      </c>
      <c r="O208" s="61">
        <v>3946.9899729330709</v>
      </c>
      <c r="P208" s="61">
        <v>3947.2734375</v>
      </c>
      <c r="Q208" s="61">
        <v>47.716535433070931</v>
      </c>
      <c r="R208" s="61">
        <v>48</v>
      </c>
      <c r="S208" s="61">
        <v>31.856299212598426</v>
      </c>
      <c r="T208" s="61">
        <v>93</v>
      </c>
      <c r="U208" s="61">
        <v>54.764561023622043</v>
      </c>
      <c r="V208" s="61">
        <v>143.66900000000001</v>
      </c>
      <c r="W208" s="68">
        <v>0.93226905736126076</v>
      </c>
    </row>
    <row r="209" spans="1:23">
      <c r="A209" s="240"/>
      <c r="B209" s="255" t="s">
        <v>3</v>
      </c>
      <c r="C209" s="85">
        <v>3</v>
      </c>
      <c r="D209" s="62">
        <v>59.411877099999401</v>
      </c>
      <c r="E209" s="62">
        <v>9.9667634792818998</v>
      </c>
      <c r="F209" s="62">
        <v>100.33347355726049</v>
      </c>
      <c r="G209" s="62">
        <v>2.7248038967611334</v>
      </c>
      <c r="H209" s="62">
        <v>5.7718749999999996</v>
      </c>
      <c r="I209" s="62">
        <v>1975.7734375</v>
      </c>
      <c r="J209" s="62">
        <v>1976.0590049342106</v>
      </c>
      <c r="K209" s="62">
        <v>1980.671875</v>
      </c>
      <c r="L209" s="62">
        <v>0.28556743421063402</v>
      </c>
      <c r="M209" s="62">
        <v>4.8984375</v>
      </c>
      <c r="N209" s="62">
        <v>3899.2734375</v>
      </c>
      <c r="O209" s="62">
        <v>3946.9819395242916</v>
      </c>
      <c r="P209" s="62">
        <v>3947.2734375</v>
      </c>
      <c r="Q209" s="62">
        <v>47.708502024291647</v>
      </c>
      <c r="R209" s="62">
        <v>48</v>
      </c>
      <c r="S209" s="62">
        <v>32.404858299595141</v>
      </c>
      <c r="T209" s="62">
        <v>100</v>
      </c>
      <c r="U209" s="62">
        <v>57.602198380566804</v>
      </c>
      <c r="V209" s="62">
        <v>142.56100000000001</v>
      </c>
      <c r="W209" s="67">
        <v>0.95211941709536085</v>
      </c>
    </row>
    <row r="210" spans="1:23">
      <c r="A210" s="240"/>
      <c r="B210" s="255" t="s">
        <v>3</v>
      </c>
      <c r="C210" s="84">
        <v>4</v>
      </c>
      <c r="D210" s="61">
        <v>59.827776000000085</v>
      </c>
      <c r="E210" s="61">
        <v>10.036533467539018</v>
      </c>
      <c r="F210" s="61">
        <v>99.635995160508585</v>
      </c>
      <c r="G210" s="61">
        <v>2.7021106350806452</v>
      </c>
      <c r="H210" s="61">
        <v>6.2156250000000002</v>
      </c>
      <c r="I210" s="61">
        <v>1976.08203125</v>
      </c>
      <c r="J210" s="61">
        <v>1976.4113297001009</v>
      </c>
      <c r="K210" s="61">
        <v>1981.06640625</v>
      </c>
      <c r="L210" s="61">
        <v>0.32929845010085046</v>
      </c>
      <c r="M210" s="61">
        <v>4.984375</v>
      </c>
      <c r="N210" s="61">
        <v>3899.2734375</v>
      </c>
      <c r="O210" s="61">
        <v>3946.9831149193546</v>
      </c>
      <c r="P210" s="61">
        <v>3947.2734375</v>
      </c>
      <c r="Q210" s="61">
        <v>47.709677419354648</v>
      </c>
      <c r="R210" s="61">
        <v>48</v>
      </c>
      <c r="S210" s="61">
        <v>31.93951612903226</v>
      </c>
      <c r="T210" s="61">
        <v>99</v>
      </c>
      <c r="U210" s="61">
        <v>56.39519153225806</v>
      </c>
      <c r="V210" s="61">
        <v>142.35300000000001</v>
      </c>
      <c r="W210" s="68">
        <v>0.94539820290456089</v>
      </c>
    </row>
    <row r="211" spans="1:23" ht="14.5" thickBot="1">
      <c r="A211" s="240"/>
      <c r="B211" s="255" t="s">
        <v>3</v>
      </c>
      <c r="C211" s="85">
        <v>5</v>
      </c>
      <c r="D211" s="62">
        <v>60.784105599999748</v>
      </c>
      <c r="E211" s="62">
        <v>10.19696453615161</v>
      </c>
      <c r="F211" s="62">
        <v>98.06840030233208</v>
      </c>
      <c r="G211" s="62">
        <v>2.7087844488188977</v>
      </c>
      <c r="H211" s="62">
        <v>6.6593749999999998</v>
      </c>
      <c r="I211" s="62">
        <v>1976.31640625</v>
      </c>
      <c r="J211" s="62">
        <v>1976.8237266240158</v>
      </c>
      <c r="K211" s="62">
        <v>1981.48046875</v>
      </c>
      <c r="L211" s="62">
        <v>0.50732037401576235</v>
      </c>
      <c r="M211" s="62">
        <v>5.1640625</v>
      </c>
      <c r="N211" s="62">
        <v>3899.2734375</v>
      </c>
      <c r="O211" s="62">
        <v>3946.9899729330709</v>
      </c>
      <c r="P211" s="62">
        <v>3947.2734375</v>
      </c>
      <c r="Q211" s="62">
        <v>47.716535433070931</v>
      </c>
      <c r="R211" s="62">
        <v>48</v>
      </c>
      <c r="S211" s="62">
        <v>31.927165354330707</v>
      </c>
      <c r="T211" s="62">
        <v>100</v>
      </c>
      <c r="U211" s="62">
        <v>56.254976377952758</v>
      </c>
      <c r="V211" s="62">
        <v>142.90100000000001</v>
      </c>
      <c r="W211" s="67">
        <v>0.94884164640895863</v>
      </c>
    </row>
    <row r="212" spans="1:23">
      <c r="A212" s="240"/>
      <c r="B212" s="252" t="s">
        <v>4</v>
      </c>
      <c r="C212" s="84">
        <v>1</v>
      </c>
      <c r="D212" s="61">
        <v>29.877370799999881</v>
      </c>
      <c r="E212" s="61">
        <v>9.959123599999959</v>
      </c>
      <c r="F212" s="61">
        <v>100.4104417380666</v>
      </c>
      <c r="G212" s="61">
        <v>2.6480282738095235</v>
      </c>
      <c r="H212" s="61">
        <v>5.46875</v>
      </c>
      <c r="I212" s="61">
        <v>6809.59375</v>
      </c>
      <c r="J212" s="61">
        <v>6817.9923115079364</v>
      </c>
      <c r="K212" s="61">
        <v>6822.48828125</v>
      </c>
      <c r="L212" s="61">
        <v>8.3985615079363924</v>
      </c>
      <c r="M212" s="61">
        <v>12.89453125</v>
      </c>
      <c r="N212" s="61">
        <v>3548.4375</v>
      </c>
      <c r="O212" s="61">
        <v>3667.0089285714284</v>
      </c>
      <c r="P212" s="61">
        <v>3668.4375</v>
      </c>
      <c r="Q212" s="61">
        <v>118.57142857142844</v>
      </c>
      <c r="R212" s="61">
        <v>120</v>
      </c>
      <c r="S212" s="61">
        <v>33.726190476190474</v>
      </c>
      <c r="T212" s="61">
        <v>100</v>
      </c>
      <c r="U212" s="61">
        <v>57.449992063492068</v>
      </c>
      <c r="V212" s="61">
        <v>142.499</v>
      </c>
      <c r="W212" s="68">
        <v>0.4855659319191008</v>
      </c>
    </row>
    <row r="213" spans="1:23">
      <c r="A213" s="240"/>
      <c r="B213" s="253" t="s">
        <v>4</v>
      </c>
      <c r="C213" s="85">
        <v>2</v>
      </c>
      <c r="D213" s="62">
        <v>29.694569000000001</v>
      </c>
      <c r="E213" s="62">
        <v>9.8981896666666671</v>
      </c>
      <c r="F213" s="62">
        <v>101.02857529267388</v>
      </c>
      <c r="G213" s="62">
        <v>2.634733606557377</v>
      </c>
      <c r="H213" s="62">
        <v>5.7718749999999996</v>
      </c>
      <c r="I213" s="62">
        <v>6818.5234375</v>
      </c>
      <c r="J213" s="62">
        <v>6818.6998431096308</v>
      </c>
      <c r="K213" s="62">
        <v>6821.94921875</v>
      </c>
      <c r="L213" s="62">
        <v>0.17640560963081953</v>
      </c>
      <c r="M213" s="62">
        <v>3.42578125</v>
      </c>
      <c r="N213" s="62">
        <v>3548.4375</v>
      </c>
      <c r="O213" s="62">
        <v>3666.9620901639346</v>
      </c>
      <c r="P213" s="62">
        <v>3668.4375</v>
      </c>
      <c r="Q213" s="62">
        <v>118.52459016393459</v>
      </c>
      <c r="R213" s="62">
        <v>120</v>
      </c>
      <c r="S213" s="62">
        <v>33.065573770491802</v>
      </c>
      <c r="T213" s="62">
        <v>100</v>
      </c>
      <c r="U213" s="62">
        <v>55.159618852459019</v>
      </c>
      <c r="V213" s="62">
        <v>142.649</v>
      </c>
      <c r="W213" s="67">
        <v>0.46073135786673192</v>
      </c>
    </row>
    <row r="214" spans="1:23">
      <c r="A214" s="240"/>
      <c r="B214" s="253" t="s">
        <v>4</v>
      </c>
      <c r="C214" s="84">
        <v>3</v>
      </c>
      <c r="D214" s="61">
        <v>30.47251110000002</v>
      </c>
      <c r="E214" s="61">
        <v>10.157503700000007</v>
      </c>
      <c r="F214" s="61">
        <v>98.449385748193166</v>
      </c>
      <c r="G214" s="61">
        <v>2.5489701704545453</v>
      </c>
      <c r="H214" s="61">
        <v>5.375</v>
      </c>
      <c r="I214" s="61">
        <v>6818.58984375</v>
      </c>
      <c r="J214" s="61">
        <v>6818.767859256629</v>
      </c>
      <c r="K214" s="61">
        <v>6823.38671875</v>
      </c>
      <c r="L214" s="61">
        <v>0.1780155066289808</v>
      </c>
      <c r="M214" s="61">
        <v>4.796875</v>
      </c>
      <c r="N214" s="61">
        <v>3548.4375</v>
      </c>
      <c r="O214" s="61">
        <v>3667.0738636363635</v>
      </c>
      <c r="P214" s="61">
        <v>3668.4375</v>
      </c>
      <c r="Q214" s="61">
        <v>118.63636363636351</v>
      </c>
      <c r="R214" s="61">
        <v>120</v>
      </c>
      <c r="S214" s="61">
        <v>35.18181818181818</v>
      </c>
      <c r="T214" s="61">
        <v>100</v>
      </c>
      <c r="U214" s="61">
        <v>55.573193181818183</v>
      </c>
      <c r="V214" s="61">
        <v>142.63200000000001</v>
      </c>
      <c r="W214" s="68">
        <v>0.47363002147706967</v>
      </c>
    </row>
    <row r="215" spans="1:23">
      <c r="A215" s="240"/>
      <c r="B215" s="253" t="s">
        <v>4</v>
      </c>
      <c r="C215" s="85">
        <v>4</v>
      </c>
      <c r="D215" s="62">
        <v>27.846996999999874</v>
      </c>
      <c r="E215" s="62">
        <v>9.2823323333332901</v>
      </c>
      <c r="F215" s="62">
        <v>107.73154462579981</v>
      </c>
      <c r="G215" s="62">
        <v>2.5240234374999999</v>
      </c>
      <c r="H215" s="62">
        <v>5.078125</v>
      </c>
      <c r="I215" s="62">
        <v>6818.59765625</v>
      </c>
      <c r="J215" s="62">
        <v>6818.7237792968754</v>
      </c>
      <c r="K215" s="62">
        <v>6823.39453125</v>
      </c>
      <c r="L215" s="62">
        <v>0.1261230468753638</v>
      </c>
      <c r="M215" s="62">
        <v>4.796875</v>
      </c>
      <c r="N215" s="62">
        <v>3548.4375</v>
      </c>
      <c r="O215" s="62">
        <v>3666.9375</v>
      </c>
      <c r="P215" s="62">
        <v>3668.4375</v>
      </c>
      <c r="Q215" s="62">
        <v>118.5</v>
      </c>
      <c r="R215" s="62">
        <v>120</v>
      </c>
      <c r="S215" s="62">
        <v>40.125</v>
      </c>
      <c r="T215" s="62">
        <v>100</v>
      </c>
      <c r="U215" s="62">
        <v>59.488666666666667</v>
      </c>
      <c r="V215" s="62">
        <v>134.60599999999999</v>
      </c>
      <c r="W215" s="67">
        <v>0.4636421332023602</v>
      </c>
    </row>
    <row r="216" spans="1:23" ht="14.5" thickBot="1">
      <c r="A216" s="240"/>
      <c r="B216" s="254" t="s">
        <v>4</v>
      </c>
      <c r="C216" s="84">
        <v>5</v>
      </c>
      <c r="D216" s="61">
        <v>27.741594200000009</v>
      </c>
      <c r="E216" s="61">
        <v>9.2471980666666695</v>
      </c>
      <c r="F216" s="61">
        <v>108.14086524270473</v>
      </c>
      <c r="G216" s="61">
        <v>2.5152994791666665</v>
      </c>
      <c r="H216" s="61">
        <v>5.46875</v>
      </c>
      <c r="I216" s="61">
        <v>6818.609375</v>
      </c>
      <c r="J216" s="61">
        <v>6818.7231282552084</v>
      </c>
      <c r="K216" s="61">
        <v>6821.8203125</v>
      </c>
      <c r="L216" s="61">
        <v>0.11375325520839397</v>
      </c>
      <c r="M216" s="61">
        <v>3.2109375</v>
      </c>
      <c r="N216" s="61">
        <v>3548.4375</v>
      </c>
      <c r="O216" s="61">
        <v>3666.9375</v>
      </c>
      <c r="P216" s="61">
        <v>3668.4375</v>
      </c>
      <c r="Q216" s="61">
        <v>118.5</v>
      </c>
      <c r="R216" s="61">
        <v>120</v>
      </c>
      <c r="S216" s="61">
        <v>39.291666666666664</v>
      </c>
      <c r="T216" s="61">
        <v>100</v>
      </c>
      <c r="U216" s="61">
        <v>58.376295833333337</v>
      </c>
      <c r="V216" s="61">
        <v>142.50700000000001</v>
      </c>
      <c r="W216" s="68">
        <v>0.45240759384750756</v>
      </c>
    </row>
    <row r="217" spans="1:23">
      <c r="A217" s="240"/>
      <c r="B217" s="256" t="s">
        <v>5</v>
      </c>
      <c r="C217" s="85">
        <v>1</v>
      </c>
      <c r="D217" s="62">
        <v>22.45205870000018</v>
      </c>
      <c r="E217" s="62">
        <v>9.0715388686869414</v>
      </c>
      <c r="F217" s="62">
        <v>110.23488015377316</v>
      </c>
      <c r="G217" s="62">
        <v>2.6436835106382981</v>
      </c>
      <c r="H217" s="62">
        <v>6.71875</v>
      </c>
      <c r="I217" s="62">
        <v>5774.9140625</v>
      </c>
      <c r="J217" s="62">
        <v>5783.0624376662236</v>
      </c>
      <c r="K217" s="62">
        <v>5783.50390625</v>
      </c>
      <c r="L217" s="62">
        <v>8.1483751662235591</v>
      </c>
      <c r="M217" s="62">
        <v>8.58984375</v>
      </c>
      <c r="N217" s="62">
        <v>3561.75</v>
      </c>
      <c r="O217" s="62">
        <v>3679.8351063829787</v>
      </c>
      <c r="P217" s="62">
        <v>3681.75</v>
      </c>
      <c r="Q217" s="62">
        <v>118.08510638297867</v>
      </c>
      <c r="R217" s="62">
        <v>120</v>
      </c>
      <c r="S217" s="62">
        <v>35.781914893617021</v>
      </c>
      <c r="T217" s="62">
        <v>100</v>
      </c>
      <c r="U217" s="62">
        <v>58.785914893617026</v>
      </c>
      <c r="V217" s="62">
        <v>140.95599999999999</v>
      </c>
      <c r="W217" s="67">
        <v>0.3721378871904738</v>
      </c>
    </row>
    <row r="218" spans="1:23">
      <c r="A218" s="240"/>
      <c r="B218" s="255" t="s">
        <v>5</v>
      </c>
      <c r="C218" s="84">
        <v>2</v>
      </c>
      <c r="D218" s="61">
        <v>21.854369000000133</v>
      </c>
      <c r="E218" s="61">
        <v>8.830048080808135</v>
      </c>
      <c r="F218" s="61">
        <v>113.24966646257253</v>
      </c>
      <c r="G218" s="61">
        <v>2.6254943502824859</v>
      </c>
      <c r="H218" s="61">
        <v>5.9093749999999998</v>
      </c>
      <c r="I218" s="61">
        <v>5783.59375</v>
      </c>
      <c r="J218" s="61">
        <v>5783.8152807203387</v>
      </c>
      <c r="K218" s="61">
        <v>5788.453125</v>
      </c>
      <c r="L218" s="61">
        <v>0.22153072033870558</v>
      </c>
      <c r="M218" s="61">
        <v>4.859375</v>
      </c>
      <c r="N218" s="61">
        <v>3561.75</v>
      </c>
      <c r="O218" s="61">
        <v>3679.7161016949153</v>
      </c>
      <c r="P218" s="61">
        <v>3681.75</v>
      </c>
      <c r="Q218" s="61">
        <v>117.96610169491532</v>
      </c>
      <c r="R218" s="61">
        <v>120</v>
      </c>
      <c r="S218" s="61">
        <v>37.288135593220339</v>
      </c>
      <c r="T218" s="61">
        <v>100</v>
      </c>
      <c r="U218" s="61">
        <v>61.322593220338987</v>
      </c>
      <c r="V218" s="61">
        <v>142.66200000000001</v>
      </c>
      <c r="W218" s="68">
        <v>0.38104475220530731</v>
      </c>
    </row>
    <row r="219" spans="1:23">
      <c r="A219" s="240"/>
      <c r="B219" s="255" t="s">
        <v>5</v>
      </c>
      <c r="C219" s="85">
        <v>3</v>
      </c>
      <c r="D219" s="62">
        <v>22.027217300000075</v>
      </c>
      <c r="E219" s="62">
        <v>8.8998857777778078</v>
      </c>
      <c r="F219" s="62">
        <v>112.36099259800699</v>
      </c>
      <c r="G219" s="62">
        <v>2.6784548611111112</v>
      </c>
      <c r="H219" s="62">
        <v>5.375</v>
      </c>
      <c r="I219" s="62">
        <v>5783.66796875</v>
      </c>
      <c r="J219" s="62">
        <v>5783.8364583333332</v>
      </c>
      <c r="K219" s="62">
        <v>5788.20703125</v>
      </c>
      <c r="L219" s="62">
        <v>0.16848958333321207</v>
      </c>
      <c r="M219" s="62">
        <v>4.5390625</v>
      </c>
      <c r="N219" s="62">
        <v>3561.75</v>
      </c>
      <c r="O219" s="62">
        <v>3679.75</v>
      </c>
      <c r="P219" s="62">
        <v>3681.75</v>
      </c>
      <c r="Q219" s="62">
        <v>118</v>
      </c>
      <c r="R219" s="62">
        <v>120</v>
      </c>
      <c r="S219" s="62">
        <v>37.37222222222222</v>
      </c>
      <c r="T219" s="62">
        <v>100</v>
      </c>
      <c r="U219" s="62">
        <v>59.112311111111111</v>
      </c>
      <c r="V219" s="62">
        <v>142.83799999999999</v>
      </c>
      <c r="W219" s="67">
        <v>0.36834414435042895</v>
      </c>
    </row>
    <row r="220" spans="1:23">
      <c r="A220" s="240"/>
      <c r="B220" s="255" t="s">
        <v>5</v>
      </c>
      <c r="C220" s="84">
        <v>4</v>
      </c>
      <c r="D220" s="61">
        <v>22.336011800000051</v>
      </c>
      <c r="E220" s="61">
        <v>9.0246512323232526</v>
      </c>
      <c r="F220" s="61">
        <v>110.80760621732813</v>
      </c>
      <c r="G220" s="61">
        <v>2.6237735215053761</v>
      </c>
      <c r="H220" s="61">
        <v>6.234375</v>
      </c>
      <c r="I220" s="61">
        <v>5783.69921875</v>
      </c>
      <c r="J220" s="61">
        <v>5784.2274445564517</v>
      </c>
      <c r="K220" s="61">
        <v>5788.5078125</v>
      </c>
      <c r="L220" s="61">
        <v>0.52822580645170092</v>
      </c>
      <c r="M220" s="61">
        <v>4.80859375</v>
      </c>
      <c r="N220" s="61">
        <v>3561.75</v>
      </c>
      <c r="O220" s="61">
        <v>3679.8145161290322</v>
      </c>
      <c r="P220" s="61">
        <v>3681.75</v>
      </c>
      <c r="Q220" s="61">
        <v>118.0645161290322</v>
      </c>
      <c r="R220" s="61">
        <v>120</v>
      </c>
      <c r="S220" s="61">
        <v>36.548387096774192</v>
      </c>
      <c r="T220" s="61">
        <v>100</v>
      </c>
      <c r="U220" s="61">
        <v>58.436801075268811</v>
      </c>
      <c r="V220" s="61">
        <v>142.86799999999999</v>
      </c>
      <c r="W220" s="68">
        <v>0.36552709272858125</v>
      </c>
    </row>
    <row r="221" spans="1:23" ht="14.5" thickBot="1">
      <c r="A221" s="241"/>
      <c r="B221" s="257" t="s">
        <v>5</v>
      </c>
      <c r="C221" s="238">
        <v>5</v>
      </c>
      <c r="D221" s="74">
        <v>22.231567900000073</v>
      </c>
      <c r="E221" s="74">
        <v>8.9824516767677061</v>
      </c>
      <c r="F221" s="74">
        <v>111.32818032146045</v>
      </c>
      <c r="G221" s="74">
        <v>2.6461898395721928</v>
      </c>
      <c r="H221" s="74">
        <v>6.71875</v>
      </c>
      <c r="I221" s="74">
        <v>5784.3125</v>
      </c>
      <c r="J221" s="74">
        <v>5784.4488009692514</v>
      </c>
      <c r="K221" s="74">
        <v>5787.96875</v>
      </c>
      <c r="L221" s="74">
        <v>0.13630096925135149</v>
      </c>
      <c r="M221" s="74">
        <v>3.65625</v>
      </c>
      <c r="N221" s="74">
        <v>3561.75</v>
      </c>
      <c r="O221" s="74">
        <v>3679.8248663101604</v>
      </c>
      <c r="P221" s="74">
        <v>3681.75</v>
      </c>
      <c r="Q221" s="74">
        <v>118.07486631016036</v>
      </c>
      <c r="R221" s="74">
        <v>120</v>
      </c>
      <c r="S221" s="74">
        <v>36.550802139037437</v>
      </c>
      <c r="T221" s="74">
        <v>100</v>
      </c>
      <c r="U221" s="74">
        <v>58.351652406417124</v>
      </c>
      <c r="V221" s="74">
        <v>144.40100000000001</v>
      </c>
      <c r="W221" s="75">
        <v>0.36448200944951198</v>
      </c>
    </row>
  </sheetData>
  <mergeCells count="51">
    <mergeCell ref="B202:B206"/>
    <mergeCell ref="B207:B211"/>
    <mergeCell ref="B212:B216"/>
    <mergeCell ref="B217:B221"/>
    <mergeCell ref="A202:A221"/>
    <mergeCell ref="A182:A201"/>
    <mergeCell ref="B182:B186"/>
    <mergeCell ref="B187:B191"/>
    <mergeCell ref="B192:B196"/>
    <mergeCell ref="B197:B201"/>
    <mergeCell ref="A162:A181"/>
    <mergeCell ref="B162:B166"/>
    <mergeCell ref="B167:B171"/>
    <mergeCell ref="B172:B176"/>
    <mergeCell ref="B177:B181"/>
    <mergeCell ref="A142:A161"/>
    <mergeCell ref="B142:B146"/>
    <mergeCell ref="B147:B151"/>
    <mergeCell ref="B152:B156"/>
    <mergeCell ref="B157:B161"/>
    <mergeCell ref="A122:A141"/>
    <mergeCell ref="B122:B126"/>
    <mergeCell ref="B127:B131"/>
    <mergeCell ref="B132:B136"/>
    <mergeCell ref="B137:B141"/>
    <mergeCell ref="A102:A121"/>
    <mergeCell ref="B102:B106"/>
    <mergeCell ref="B107:B111"/>
    <mergeCell ref="B112:B116"/>
    <mergeCell ref="B117:B121"/>
    <mergeCell ref="A82:A101"/>
    <mergeCell ref="B82:B86"/>
    <mergeCell ref="B87:B91"/>
    <mergeCell ref="B92:B96"/>
    <mergeCell ref="B97:B101"/>
    <mergeCell ref="A62:A81"/>
    <mergeCell ref="B77:B81"/>
    <mergeCell ref="B72:B76"/>
    <mergeCell ref="B67:B71"/>
    <mergeCell ref="B62:B66"/>
    <mergeCell ref="A2:A21"/>
    <mergeCell ref="A22:A41"/>
    <mergeCell ref="B22:B26"/>
    <mergeCell ref="B27:B31"/>
    <mergeCell ref="B32:B36"/>
    <mergeCell ref="B37:B41"/>
    <mergeCell ref="A42:A61"/>
    <mergeCell ref="B42:B46"/>
    <mergeCell ref="B47:B51"/>
    <mergeCell ref="B52:B56"/>
    <mergeCell ref="B57:B6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1"/>
  <sheetViews>
    <sheetView workbookViewId="0">
      <selection activeCell="C15" sqref="C15"/>
    </sheetView>
  </sheetViews>
  <sheetFormatPr defaultRowHeight="14"/>
  <cols>
    <col min="2" max="2" width="18" customWidth="1"/>
    <col min="3" max="3" width="8" customWidth="1"/>
    <col min="4" max="11" width="18" customWidth="1"/>
  </cols>
  <sheetData>
    <row r="1" spans="1:11" ht="28.5" thickBot="1">
      <c r="A1" s="13" t="s">
        <v>61</v>
      </c>
      <c r="B1" s="14" t="s">
        <v>60</v>
      </c>
      <c r="C1" s="14" t="s">
        <v>38</v>
      </c>
      <c r="D1" s="14" t="s">
        <v>39</v>
      </c>
      <c r="E1" s="14" t="s">
        <v>40</v>
      </c>
      <c r="F1" s="14" t="s">
        <v>41</v>
      </c>
      <c r="G1" s="14" t="s">
        <v>42</v>
      </c>
      <c r="H1" s="14" t="s">
        <v>43</v>
      </c>
      <c r="I1" s="14" t="s">
        <v>44</v>
      </c>
      <c r="J1" s="14" t="s">
        <v>45</v>
      </c>
      <c r="K1" s="14" t="s">
        <v>46</v>
      </c>
    </row>
    <row r="2" spans="1:11">
      <c r="A2" s="248" t="s">
        <v>62</v>
      </c>
      <c r="B2" s="17" t="s">
        <v>2</v>
      </c>
      <c r="C2" s="17">
        <v>1</v>
      </c>
      <c r="D2" s="18">
        <v>18.866985000000113</v>
      </c>
      <c r="E2" s="18">
        <v>1.0481658333333397</v>
      </c>
      <c r="F2" s="18">
        <v>954.04750679559515</v>
      </c>
      <c r="G2" s="18">
        <v>9680.3359375</v>
      </c>
      <c r="H2" s="18">
        <v>7119.359375</v>
      </c>
      <c r="I2" s="18">
        <v>88.732558139534888</v>
      </c>
      <c r="J2" s="18">
        <v>76.725534883720925</v>
      </c>
      <c r="K2" s="19">
        <v>0.40162902634043113</v>
      </c>
    </row>
    <row r="3" spans="1:11">
      <c r="A3" s="249"/>
      <c r="B3" s="20" t="s">
        <v>2</v>
      </c>
      <c r="C3" s="20">
        <v>2</v>
      </c>
      <c r="D3" s="4">
        <v>18.597194800000125</v>
      </c>
      <c r="E3" s="4">
        <v>1.0331774888888958</v>
      </c>
      <c r="F3" s="4">
        <v>967.88790963247209</v>
      </c>
      <c r="G3" s="4">
        <v>9720.03515625</v>
      </c>
      <c r="H3" s="4">
        <v>7119.359375</v>
      </c>
      <c r="I3" s="4">
        <v>89.726190476190482</v>
      </c>
      <c r="J3" s="4">
        <v>76.937666666666672</v>
      </c>
      <c r="K3" s="21">
        <v>0.3969347496596371</v>
      </c>
    </row>
    <row r="4" spans="1:11">
      <c r="A4" s="249"/>
      <c r="B4" s="20" t="s">
        <v>2</v>
      </c>
      <c r="C4" s="20">
        <v>3</v>
      </c>
      <c r="D4" s="4">
        <v>18.599820399999999</v>
      </c>
      <c r="E4" s="4">
        <v>1.0333233555555554</v>
      </c>
      <c r="F4" s="4">
        <v>967.75128000698339</v>
      </c>
      <c r="G4" s="4">
        <v>9720.828125</v>
      </c>
      <c r="H4" s="4">
        <v>7119.359375</v>
      </c>
      <c r="I4" s="4">
        <v>89.710059171597635</v>
      </c>
      <c r="J4" s="4">
        <v>77.047177514792892</v>
      </c>
      <c r="K4" s="21">
        <v>0.39680695857644321</v>
      </c>
    </row>
    <row r="5" spans="1:11">
      <c r="A5" s="249"/>
      <c r="B5" s="20" t="s">
        <v>2</v>
      </c>
      <c r="C5" s="20">
        <v>4</v>
      </c>
      <c r="D5" s="4">
        <v>18.459322100000009</v>
      </c>
      <c r="E5" s="4">
        <v>1.0255178944444447</v>
      </c>
      <c r="F5" s="4">
        <v>975.11706564782196</v>
      </c>
      <c r="G5" s="4">
        <v>9721.359375</v>
      </c>
      <c r="H5" s="4">
        <v>7119.359375</v>
      </c>
      <c r="I5" s="4">
        <v>89.562130177514788</v>
      </c>
      <c r="J5" s="4">
        <v>77.114591715976346</v>
      </c>
      <c r="K5" s="21">
        <v>0.39573228180955827</v>
      </c>
    </row>
    <row r="6" spans="1:11">
      <c r="A6" s="249"/>
      <c r="B6" s="20" t="s">
        <v>2</v>
      </c>
      <c r="C6" s="20">
        <v>5</v>
      </c>
      <c r="D6" s="4">
        <v>18.691099800000075</v>
      </c>
      <c r="E6" s="4">
        <v>1.0383944333333375</v>
      </c>
      <c r="F6" s="4">
        <v>963.0251934131735</v>
      </c>
      <c r="G6" s="4">
        <v>9723.36328125</v>
      </c>
      <c r="H6" s="4">
        <v>7119.359375</v>
      </c>
      <c r="I6" s="4">
        <v>90.341176470588238</v>
      </c>
      <c r="J6" s="4">
        <v>76.810194117647058</v>
      </c>
      <c r="K6" s="21">
        <v>0.39578987509811026</v>
      </c>
    </row>
    <row r="7" spans="1:11">
      <c r="A7" s="249"/>
      <c r="B7" s="20" t="s">
        <v>3</v>
      </c>
      <c r="C7" s="20">
        <v>1</v>
      </c>
      <c r="D7" s="4">
        <v>6.5197186999999985</v>
      </c>
      <c r="E7" s="4">
        <v>1.0937290219761784</v>
      </c>
      <c r="F7" s="4">
        <v>914.30325053748118</v>
      </c>
      <c r="G7" s="4">
        <v>7345.21484375</v>
      </c>
      <c r="H7" s="4">
        <v>7119.359375</v>
      </c>
      <c r="I7" s="4">
        <v>81.483333333333334</v>
      </c>
      <c r="J7" s="4">
        <v>67.896050000000002</v>
      </c>
      <c r="K7" s="21">
        <v>0.12050422753556983</v>
      </c>
    </row>
    <row r="8" spans="1:11">
      <c r="A8" s="249"/>
      <c r="B8" s="20" t="s">
        <v>3</v>
      </c>
      <c r="C8" s="20">
        <v>2</v>
      </c>
      <c r="D8" s="4">
        <v>5.8819889000000103</v>
      </c>
      <c r="E8" s="4">
        <v>0.98674532796510828</v>
      </c>
      <c r="F8" s="4">
        <v>1013.4327183106363</v>
      </c>
      <c r="G8" s="4">
        <v>7353.9140625</v>
      </c>
      <c r="H8" s="4">
        <v>7119.359375</v>
      </c>
      <c r="I8" s="4">
        <v>85.053571428571431</v>
      </c>
      <c r="J8" s="4">
        <v>71.292107142857148</v>
      </c>
      <c r="K8" s="21">
        <v>0.11753671374543077</v>
      </c>
    </row>
    <row r="9" spans="1:11">
      <c r="A9" s="249"/>
      <c r="B9" s="20" t="s">
        <v>3</v>
      </c>
      <c r="C9" s="20">
        <v>3</v>
      </c>
      <c r="D9" s="4">
        <v>5.9782321000000138</v>
      </c>
      <c r="E9" s="4">
        <v>1.0028908069115945</v>
      </c>
      <c r="F9" s="4">
        <v>997.11752576484719</v>
      </c>
      <c r="G9" s="4">
        <v>7354.390625</v>
      </c>
      <c r="H9" s="4">
        <v>7119.359375</v>
      </c>
      <c r="I9" s="4">
        <v>85.517857142857139</v>
      </c>
      <c r="J9" s="4">
        <v>71.468285714285713</v>
      </c>
      <c r="K9" s="21">
        <v>0.11864877274219421</v>
      </c>
    </row>
    <row r="10" spans="1:11">
      <c r="A10" s="249"/>
      <c r="B10" s="20" t="s">
        <v>3</v>
      </c>
      <c r="C10" s="20">
        <v>4</v>
      </c>
      <c r="D10" s="4">
        <v>5.9492317999998932</v>
      </c>
      <c r="E10" s="4">
        <v>0.9980258010400761</v>
      </c>
      <c r="F10" s="4">
        <v>1001.9781041310421</v>
      </c>
      <c r="G10" s="4">
        <v>7355.6015625</v>
      </c>
      <c r="H10" s="4">
        <v>7119.359375</v>
      </c>
      <c r="I10" s="4">
        <v>85.963636363636368</v>
      </c>
      <c r="J10" s="4">
        <v>69.589781818181805</v>
      </c>
      <c r="K10" s="21">
        <v>0.11632345060015194</v>
      </c>
    </row>
    <row r="11" spans="1:11">
      <c r="A11" s="249"/>
      <c r="B11" s="20" t="s">
        <v>3</v>
      </c>
      <c r="C11" s="20">
        <v>5</v>
      </c>
      <c r="D11" s="4">
        <v>6.2244621999999481</v>
      </c>
      <c r="E11" s="4">
        <v>1.0441976514007629</v>
      </c>
      <c r="F11" s="4">
        <v>957.67309824775703</v>
      </c>
      <c r="G11" s="4">
        <v>7356.15625</v>
      </c>
      <c r="H11" s="4">
        <v>7119.359375</v>
      </c>
      <c r="I11" s="4">
        <v>86.627118644067792</v>
      </c>
      <c r="J11" s="4">
        <v>69.633135593220331</v>
      </c>
      <c r="K11" s="21">
        <v>0.12163588083654296</v>
      </c>
    </row>
    <row r="12" spans="1:11">
      <c r="A12" s="249"/>
      <c r="B12" s="20" t="s">
        <v>4</v>
      </c>
      <c r="C12" s="20">
        <v>1</v>
      </c>
      <c r="D12" s="4">
        <v>3.5561226000000374</v>
      </c>
      <c r="E12" s="4">
        <v>1.1853742000000125</v>
      </c>
      <c r="F12" s="4">
        <v>843.61545915204624</v>
      </c>
      <c r="G12" s="4">
        <v>6407.34375</v>
      </c>
      <c r="H12" s="4">
        <v>7119.359375</v>
      </c>
      <c r="I12" s="4">
        <v>73.617647058823536</v>
      </c>
      <c r="J12" s="4">
        <v>54.466235294117652</v>
      </c>
      <c r="K12" s="21">
        <v>5.3356852397041334E-2</v>
      </c>
    </row>
    <row r="13" spans="1:11">
      <c r="A13" s="249"/>
      <c r="B13" s="20" t="s">
        <v>4</v>
      </c>
      <c r="C13" s="20">
        <v>2</v>
      </c>
      <c r="D13" s="4">
        <v>3.1359989000000041</v>
      </c>
      <c r="E13" s="4">
        <v>1.0453329666666682</v>
      </c>
      <c r="F13" s="4">
        <v>956.63298861488636</v>
      </c>
      <c r="G13" s="4">
        <v>6407.41015625</v>
      </c>
      <c r="H13" s="4">
        <v>7119.359375</v>
      </c>
      <c r="I13" s="4">
        <v>81.58064516129032</v>
      </c>
      <c r="J13" s="4">
        <v>58.230806451612899</v>
      </c>
      <c r="K13" s="21">
        <v>5.1546254401430423E-2</v>
      </c>
    </row>
    <row r="14" spans="1:11">
      <c r="A14" s="249"/>
      <c r="B14" s="20" t="s">
        <v>4</v>
      </c>
      <c r="C14" s="20">
        <v>3</v>
      </c>
      <c r="D14" s="4">
        <v>3.2436693000000218</v>
      </c>
      <c r="E14" s="4">
        <v>1.0812231000000072</v>
      </c>
      <c r="F14" s="4">
        <v>924.87850102351058</v>
      </c>
      <c r="G14" s="4">
        <v>6409.34765625</v>
      </c>
      <c r="H14" s="4">
        <v>7119.359375</v>
      </c>
      <c r="I14" s="4">
        <v>80.625</v>
      </c>
      <c r="J14" s="4">
        <v>56.547250000000005</v>
      </c>
      <c r="K14" s="21">
        <v>5.1395075393541143E-2</v>
      </c>
    </row>
    <row r="15" spans="1:11">
      <c r="A15" s="249"/>
      <c r="B15" s="20" t="s">
        <v>4</v>
      </c>
      <c r="C15" s="20">
        <v>4</v>
      </c>
      <c r="D15" s="4">
        <v>3.0878178000000389</v>
      </c>
      <c r="E15" s="4">
        <v>1.029272600000013</v>
      </c>
      <c r="F15" s="4">
        <v>971.55991522555576</v>
      </c>
      <c r="G15" s="4">
        <v>6410.5078125</v>
      </c>
      <c r="H15" s="4">
        <v>7119.359375</v>
      </c>
      <c r="I15" s="4">
        <v>81.166666666666671</v>
      </c>
      <c r="J15" s="4">
        <v>57.398133333333327</v>
      </c>
      <c r="K15" s="21">
        <v>5.0473719801792209E-2</v>
      </c>
    </row>
    <row r="16" spans="1:11">
      <c r="A16" s="249"/>
      <c r="B16" s="20" t="s">
        <v>4</v>
      </c>
      <c r="C16" s="20">
        <v>5</v>
      </c>
      <c r="D16" s="4">
        <v>3.0995050999999876</v>
      </c>
      <c r="E16" s="4">
        <v>1.0331683666666627</v>
      </c>
      <c r="F16" s="4">
        <v>967.89645546962061</v>
      </c>
      <c r="G16" s="4">
        <v>6411.03515625</v>
      </c>
      <c r="H16" s="4">
        <v>7119.359375</v>
      </c>
      <c r="I16" s="4">
        <v>81.266666666666666</v>
      </c>
      <c r="J16" s="4">
        <v>57.091499999999996</v>
      </c>
      <c r="K16" s="21">
        <v>5.0499738979652598E-2</v>
      </c>
    </row>
    <row r="17" spans="1:11">
      <c r="A17" s="249"/>
      <c r="B17" s="20" t="s">
        <v>5</v>
      </c>
      <c r="C17" s="20">
        <v>1</v>
      </c>
      <c r="D17" s="4">
        <v>3.1084937999999909</v>
      </c>
      <c r="E17" s="4">
        <v>1.2559570909090871</v>
      </c>
      <c r="F17" s="4">
        <v>796.20554494913495</v>
      </c>
      <c r="G17" s="4">
        <v>5343.41796875</v>
      </c>
      <c r="H17" s="4">
        <v>7119.359375</v>
      </c>
      <c r="I17" s="4">
        <v>77.63333333333334</v>
      </c>
      <c r="J17" s="4">
        <v>51.145133333333327</v>
      </c>
      <c r="K17" s="21">
        <v>4.3371343101972284E-2</v>
      </c>
    </row>
    <row r="18" spans="1:11">
      <c r="A18" s="249"/>
      <c r="B18" s="20" t="s">
        <v>5</v>
      </c>
      <c r="C18" s="20">
        <v>2</v>
      </c>
      <c r="D18" s="4">
        <v>2.826293899999996</v>
      </c>
      <c r="E18" s="4">
        <v>1.1419369292929276</v>
      </c>
      <c r="F18" s="4">
        <v>875.70510625239774</v>
      </c>
      <c r="G18" s="4">
        <v>5344.6484375</v>
      </c>
      <c r="H18" s="4">
        <v>7119.359375</v>
      </c>
      <c r="I18" s="4">
        <v>83.75</v>
      </c>
      <c r="J18" s="4">
        <v>53.009821428571421</v>
      </c>
      <c r="K18" s="21">
        <v>4.2279740048708006E-2</v>
      </c>
    </row>
    <row r="19" spans="1:11">
      <c r="A19" s="249"/>
      <c r="B19" s="20" t="s">
        <v>5</v>
      </c>
      <c r="C19" s="20">
        <v>3</v>
      </c>
      <c r="D19" s="4">
        <v>2.6824609999999893</v>
      </c>
      <c r="E19" s="4">
        <v>1.083822626262622</v>
      </c>
      <c r="F19" s="4">
        <v>922.66019897400554</v>
      </c>
      <c r="G19" s="4">
        <v>5345.54296875</v>
      </c>
      <c r="H19" s="4">
        <v>7119.359375</v>
      </c>
      <c r="I19" s="4">
        <v>81.730769230769226</v>
      </c>
      <c r="J19" s="4">
        <v>55.05338461538463</v>
      </c>
      <c r="K19" s="21">
        <v>4.2105095557055716E-2</v>
      </c>
    </row>
    <row r="20" spans="1:11">
      <c r="A20" s="249"/>
      <c r="B20" s="20" t="s">
        <v>5</v>
      </c>
      <c r="C20" s="20">
        <v>4</v>
      </c>
      <c r="D20" s="4">
        <v>2.6852829000000042</v>
      </c>
      <c r="E20" s="4">
        <v>1.0849627878787895</v>
      </c>
      <c r="F20" s="4">
        <v>921.69059729237324</v>
      </c>
      <c r="G20" s="4">
        <v>5346.0234375</v>
      </c>
      <c r="H20" s="4">
        <v>7119.359375</v>
      </c>
      <c r="I20" s="4">
        <v>82.222222222222229</v>
      </c>
      <c r="J20" s="4">
        <v>55.606740740740754</v>
      </c>
      <c r="K20" s="21">
        <v>4.2123277089333742E-2</v>
      </c>
    </row>
    <row r="21" spans="1:11" ht="14.5" thickBot="1">
      <c r="A21" s="250"/>
      <c r="B21" s="22" t="s">
        <v>5</v>
      </c>
      <c r="C21" s="22">
        <v>5</v>
      </c>
      <c r="D21" s="23">
        <v>2.6821006000000125</v>
      </c>
      <c r="E21" s="23">
        <v>1.0836770101010151</v>
      </c>
      <c r="F21" s="23">
        <v>922.78417893795199</v>
      </c>
      <c r="G21" s="23">
        <v>5346.94140625</v>
      </c>
      <c r="H21" s="23">
        <v>7119.359375</v>
      </c>
      <c r="I21" s="23">
        <v>81.629629629629633</v>
      </c>
      <c r="J21" s="23">
        <v>55.142222222222216</v>
      </c>
      <c r="K21" s="24">
        <v>4.1903057265597517E-2</v>
      </c>
    </row>
    <row r="22" spans="1:11">
      <c r="A22" s="248" t="s">
        <v>63</v>
      </c>
      <c r="B22" s="17" t="s">
        <v>2</v>
      </c>
      <c r="C22" s="17">
        <v>1</v>
      </c>
      <c r="D22" s="18">
        <v>25.207777999999962</v>
      </c>
      <c r="E22" s="18">
        <v>1.4004321111111091</v>
      </c>
      <c r="F22" s="18">
        <v>714.06531745876316</v>
      </c>
      <c r="G22" s="18">
        <v>4364.125</v>
      </c>
      <c r="H22" s="18">
        <v>7000.53125</v>
      </c>
      <c r="I22" s="18">
        <v>90.723684210526315</v>
      </c>
      <c r="J22" s="18">
        <v>57.923614035087716</v>
      </c>
      <c r="K22" s="19">
        <v>0.4031761231499143</v>
      </c>
    </row>
    <row r="23" spans="1:11">
      <c r="A23" s="249"/>
      <c r="B23" s="20" t="s">
        <v>2</v>
      </c>
      <c r="C23" s="20">
        <v>2</v>
      </c>
      <c r="D23" s="4">
        <v>24.309021799999755</v>
      </c>
      <c r="E23" s="4">
        <v>1.3505012111110974</v>
      </c>
      <c r="F23" s="4">
        <v>740.46582985088196</v>
      </c>
      <c r="G23" s="4">
        <v>4398.69140625</v>
      </c>
      <c r="H23" s="4">
        <v>7000.53125</v>
      </c>
      <c r="I23" s="4">
        <v>90.690909090909088</v>
      </c>
      <c r="J23" s="4">
        <v>62.153377272727269</v>
      </c>
      <c r="K23" s="21">
        <v>0.41767929758477584</v>
      </c>
    </row>
    <row r="24" spans="1:11">
      <c r="A24" s="249"/>
      <c r="B24" s="20" t="s">
        <v>2</v>
      </c>
      <c r="C24" s="20">
        <v>3</v>
      </c>
      <c r="D24" s="4">
        <v>23.104442100000142</v>
      </c>
      <c r="E24" s="4">
        <v>1.2835801166666745</v>
      </c>
      <c r="F24" s="4">
        <v>779.07096488600735</v>
      </c>
      <c r="G24" s="4">
        <v>3859.80859375</v>
      </c>
      <c r="H24" s="4">
        <v>7000.53125</v>
      </c>
      <c r="I24" s="4">
        <v>89.590476190476195</v>
      </c>
      <c r="J24" s="4">
        <v>64.516628571428569</v>
      </c>
      <c r="K24" s="21">
        <v>0.41411511528865097</v>
      </c>
    </row>
    <row r="25" spans="1:11">
      <c r="A25" s="249"/>
      <c r="B25" s="20" t="s">
        <v>2</v>
      </c>
      <c r="C25" s="20">
        <v>4</v>
      </c>
      <c r="D25" s="4">
        <v>22.066359799999645</v>
      </c>
      <c r="E25" s="4">
        <v>1.225908877777758</v>
      </c>
      <c r="F25" s="4">
        <v>815.72131349006145</v>
      </c>
      <c r="G25" s="4">
        <v>3860.375</v>
      </c>
      <c r="H25" s="4">
        <v>7000.53125</v>
      </c>
      <c r="I25" s="4">
        <v>88.930348258706474</v>
      </c>
      <c r="J25" s="4">
        <v>72.258442786069651</v>
      </c>
      <c r="K25" s="21">
        <v>0.44209045847811351</v>
      </c>
    </row>
    <row r="26" spans="1:11">
      <c r="A26" s="249"/>
      <c r="B26" s="20" t="s">
        <v>2</v>
      </c>
      <c r="C26" s="20">
        <v>5</v>
      </c>
      <c r="D26" s="4">
        <v>22.593257999999878</v>
      </c>
      <c r="E26" s="4">
        <v>1.2551809999999932</v>
      </c>
      <c r="F26" s="4">
        <v>796.69784676473387</v>
      </c>
      <c r="G26" s="4">
        <v>3861.1484375</v>
      </c>
      <c r="H26" s="4">
        <v>7000.53125</v>
      </c>
      <c r="I26" s="4">
        <v>89.307317073170736</v>
      </c>
      <c r="J26" s="4">
        <v>67.267492682926829</v>
      </c>
      <c r="K26" s="21">
        <v>0.42080678488804324</v>
      </c>
    </row>
    <row r="27" spans="1:11">
      <c r="A27" s="249"/>
      <c r="B27" s="20" t="s">
        <v>3</v>
      </c>
      <c r="C27" s="20">
        <v>1</v>
      </c>
      <c r="D27" s="4">
        <v>8.5280450999999857</v>
      </c>
      <c r="E27" s="4">
        <v>1.4306400100654229</v>
      </c>
      <c r="F27" s="4">
        <v>698.98786065284878</v>
      </c>
      <c r="G27" s="4">
        <v>7382.63671875</v>
      </c>
      <c r="H27" s="4">
        <v>7003.67578125</v>
      </c>
      <c r="I27" s="4">
        <v>83.088607594936704</v>
      </c>
      <c r="J27" s="4">
        <v>55.563367088607585</v>
      </c>
      <c r="K27" s="21">
        <v>0.13380464055945754</v>
      </c>
    </row>
    <row r="28" spans="1:11">
      <c r="A28" s="249"/>
      <c r="B28" s="20" t="s">
        <v>3</v>
      </c>
      <c r="C28" s="20">
        <v>2</v>
      </c>
      <c r="D28" s="4">
        <v>7.7012252999999191</v>
      </c>
      <c r="E28" s="4">
        <v>1.2919351283341585</v>
      </c>
      <c r="F28" s="4">
        <v>774.03267243721109</v>
      </c>
      <c r="G28" s="4">
        <v>7392.609375</v>
      </c>
      <c r="H28" s="4">
        <v>7003.67578125</v>
      </c>
      <c r="I28" s="4">
        <v>88.028169014084511</v>
      </c>
      <c r="J28" s="4">
        <v>61.221619718309853</v>
      </c>
      <c r="K28" s="21">
        <v>0.13117535083393139</v>
      </c>
    </row>
    <row r="29" spans="1:11">
      <c r="A29" s="249"/>
      <c r="B29" s="20" t="s">
        <v>3</v>
      </c>
      <c r="C29" s="20">
        <v>3</v>
      </c>
      <c r="D29" s="4">
        <v>7.6761802999999418</v>
      </c>
      <c r="E29" s="4">
        <v>1.2877336520717904</v>
      </c>
      <c r="F29" s="4">
        <v>776.55810142969744</v>
      </c>
      <c r="G29" s="4">
        <v>7394.125</v>
      </c>
      <c r="H29" s="4">
        <v>7003.67578125</v>
      </c>
      <c r="I29" s="4">
        <v>88.267605633802816</v>
      </c>
      <c r="J29" s="4">
        <v>61.253605633802806</v>
      </c>
      <c r="K29" s="21">
        <v>0.13075349204584799</v>
      </c>
    </row>
    <row r="30" spans="1:11">
      <c r="A30" s="249"/>
      <c r="B30" s="20" t="s">
        <v>3</v>
      </c>
      <c r="C30" s="20">
        <v>4</v>
      </c>
      <c r="D30" s="4">
        <v>7.634053300000005</v>
      </c>
      <c r="E30" s="4">
        <v>1.280666549236706</v>
      </c>
      <c r="F30" s="4">
        <v>780.84338237460247</v>
      </c>
      <c r="G30" s="4">
        <v>7395.578125</v>
      </c>
      <c r="H30" s="4">
        <v>7003.67578125</v>
      </c>
      <c r="I30" s="4">
        <v>87.901408450704224</v>
      </c>
      <c r="J30" s="4">
        <v>62.19645070422537</v>
      </c>
      <c r="K30" s="21">
        <v>0.13310686523825013</v>
      </c>
    </row>
    <row r="31" spans="1:11">
      <c r="A31" s="249"/>
      <c r="B31" s="20" t="s">
        <v>3</v>
      </c>
      <c r="C31" s="20">
        <v>5</v>
      </c>
      <c r="D31" s="4">
        <v>7.5838056999999708</v>
      </c>
      <c r="E31" s="4">
        <v>1.2722371581949288</v>
      </c>
      <c r="F31" s="4">
        <v>786.01697298231454</v>
      </c>
      <c r="G31" s="4">
        <v>7396.6328125</v>
      </c>
      <c r="H31" s="4">
        <v>7003.67578125</v>
      </c>
      <c r="I31" s="4">
        <v>87.828571428571422</v>
      </c>
      <c r="J31" s="4">
        <v>65.053200000000018</v>
      </c>
      <c r="K31" s="21">
        <v>0.13722268567880519</v>
      </c>
    </row>
    <row r="32" spans="1:11">
      <c r="A32" s="249"/>
      <c r="B32" s="20" t="s">
        <v>4</v>
      </c>
      <c r="C32" s="20">
        <v>1</v>
      </c>
      <c r="D32" s="4">
        <v>4.5369547999999895</v>
      </c>
      <c r="E32" s="4">
        <v>1.5123182666666632</v>
      </c>
      <c r="F32" s="4">
        <v>661.23647517934432</v>
      </c>
      <c r="G32" s="4">
        <v>6441.29296875</v>
      </c>
      <c r="H32" s="4">
        <v>7005.42578125</v>
      </c>
      <c r="I32" s="4">
        <v>77.395348837209298</v>
      </c>
      <c r="J32" s="4">
        <v>50.67867441860465</v>
      </c>
      <c r="K32" s="21">
        <v>6.3837879381680687E-2</v>
      </c>
    </row>
    <row r="33" spans="1:11">
      <c r="A33" s="249"/>
      <c r="B33" s="20" t="s">
        <v>4</v>
      </c>
      <c r="C33" s="20">
        <v>2</v>
      </c>
      <c r="D33" s="4">
        <v>4.0750151999999957</v>
      </c>
      <c r="E33" s="4">
        <v>1.3583383999999985</v>
      </c>
      <c r="F33" s="4">
        <v>736.19357297121326</v>
      </c>
      <c r="G33" s="4">
        <v>6442.7109375</v>
      </c>
      <c r="H33" s="4">
        <v>7005.42578125</v>
      </c>
      <c r="I33" s="4">
        <v>85.230769230769226</v>
      </c>
      <c r="J33" s="4">
        <v>52.125692307692297</v>
      </c>
      <c r="K33" s="21">
        <v>5.96476871100413E-2</v>
      </c>
    </row>
    <row r="34" spans="1:11">
      <c r="A34" s="249"/>
      <c r="B34" s="20" t="s">
        <v>4</v>
      </c>
      <c r="C34" s="20">
        <v>3</v>
      </c>
      <c r="D34" s="4">
        <v>4.0558704999999691</v>
      </c>
      <c r="E34" s="4">
        <v>1.3519568333333229</v>
      </c>
      <c r="F34" s="4">
        <v>739.66858655867406</v>
      </c>
      <c r="G34" s="4">
        <v>6442.6953125</v>
      </c>
      <c r="H34" s="4">
        <v>7005.42578125</v>
      </c>
      <c r="I34" s="4">
        <v>84.684210526315795</v>
      </c>
      <c r="J34" s="4">
        <v>53.075157894736833</v>
      </c>
      <c r="K34" s="21">
        <v>6.0865652132319502E-2</v>
      </c>
    </row>
    <row r="35" spans="1:11">
      <c r="A35" s="249"/>
      <c r="B35" s="20" t="s">
        <v>4</v>
      </c>
      <c r="C35" s="20">
        <v>4</v>
      </c>
      <c r="D35" s="4">
        <v>3.8333824999999706</v>
      </c>
      <c r="E35" s="4">
        <v>1.2777941666666568</v>
      </c>
      <c r="F35" s="4">
        <v>782.59865797374073</v>
      </c>
      <c r="G35" s="4">
        <v>6443.265625</v>
      </c>
      <c r="H35" s="4">
        <v>7005.42578125</v>
      </c>
      <c r="I35" s="4">
        <v>84.86486486486487</v>
      </c>
      <c r="J35" s="4">
        <v>58.352756756756762</v>
      </c>
      <c r="K35" s="21">
        <v>6.2915874799694474E-2</v>
      </c>
    </row>
    <row r="36" spans="1:11">
      <c r="A36" s="249"/>
      <c r="B36" s="20" t="s">
        <v>4</v>
      </c>
      <c r="C36" s="20">
        <v>5</v>
      </c>
      <c r="D36" s="4">
        <v>3.9305396999999971</v>
      </c>
      <c r="E36" s="4">
        <v>1.3101798999999992</v>
      </c>
      <c r="F36" s="4">
        <v>763.25396229937644</v>
      </c>
      <c r="G36" s="4">
        <v>6443.44921875</v>
      </c>
      <c r="H36" s="4">
        <v>7005.42578125</v>
      </c>
      <c r="I36" s="4">
        <v>84.236842105263165</v>
      </c>
      <c r="J36" s="4">
        <v>56.397868421052635</v>
      </c>
      <c r="K36" s="21">
        <v>6.2693582718222424E-2</v>
      </c>
    </row>
    <row r="37" spans="1:11">
      <c r="A37" s="249"/>
      <c r="B37" s="20" t="s">
        <v>5</v>
      </c>
      <c r="C37" s="20">
        <v>1</v>
      </c>
      <c r="D37" s="4">
        <v>3.5880499999999813</v>
      </c>
      <c r="E37" s="4">
        <v>1.4497171717171642</v>
      </c>
      <c r="F37" s="4">
        <v>689.78971864940922</v>
      </c>
      <c r="G37" s="4">
        <v>5368.00390625</v>
      </c>
      <c r="H37" s="4">
        <v>7005.42578125</v>
      </c>
      <c r="I37" s="4">
        <v>69.970588235294116</v>
      </c>
      <c r="J37" s="4">
        <v>51.734676470588241</v>
      </c>
      <c r="K37" s="21">
        <v>5.1064446382194345E-2</v>
      </c>
    </row>
    <row r="38" spans="1:11">
      <c r="A38" s="249"/>
      <c r="B38" s="20" t="s">
        <v>5</v>
      </c>
      <c r="C38" s="20">
        <v>2</v>
      </c>
      <c r="D38" s="4">
        <v>3.1248433000000091</v>
      </c>
      <c r="E38" s="4">
        <v>1.2625629494949533</v>
      </c>
      <c r="F38" s="4">
        <v>792.03971603951879</v>
      </c>
      <c r="G38" s="4">
        <v>5369.33203125</v>
      </c>
      <c r="H38" s="4">
        <v>7005.42578125</v>
      </c>
      <c r="I38" s="4">
        <v>78.666666666666671</v>
      </c>
      <c r="J38" s="4">
        <v>54.4529</v>
      </c>
      <c r="K38" s="21">
        <v>4.8363860496582929E-2</v>
      </c>
    </row>
    <row r="39" spans="1:11">
      <c r="A39" s="249"/>
      <c r="B39" s="20" t="s">
        <v>5</v>
      </c>
      <c r="C39" s="20">
        <v>3</v>
      </c>
      <c r="D39" s="4">
        <v>3.1053410000000099</v>
      </c>
      <c r="E39" s="4">
        <v>1.2546832323232364</v>
      </c>
      <c r="F39" s="4">
        <v>797.01391892226718</v>
      </c>
      <c r="G39" s="4">
        <v>5369.6875</v>
      </c>
      <c r="H39" s="4">
        <v>7005.42578125</v>
      </c>
      <c r="I39" s="4">
        <v>79.333333333333329</v>
      </c>
      <c r="J39" s="4">
        <v>55.595266666666667</v>
      </c>
      <c r="K39" s="21">
        <v>4.8848570342847036E-2</v>
      </c>
    </row>
    <row r="40" spans="1:11">
      <c r="A40" s="249"/>
      <c r="B40" s="20" t="s">
        <v>5</v>
      </c>
      <c r="C40" s="20">
        <v>4</v>
      </c>
      <c r="D40" s="4">
        <v>3.0914278000000195</v>
      </c>
      <c r="E40" s="4">
        <v>1.2490617373737454</v>
      </c>
      <c r="F40" s="4">
        <v>800.6009391518005</v>
      </c>
      <c r="G40" s="4">
        <v>5369.69921875</v>
      </c>
      <c r="H40" s="4">
        <v>7005.42578125</v>
      </c>
      <c r="I40" s="4">
        <v>80.13333333333334</v>
      </c>
      <c r="J40" s="4">
        <v>53.450466666666664</v>
      </c>
      <c r="K40" s="21">
        <v>4.7376057996347663E-2</v>
      </c>
    </row>
    <row r="41" spans="1:11" ht="14.5" thickBot="1">
      <c r="A41" s="250"/>
      <c r="B41" s="22" t="s">
        <v>5</v>
      </c>
      <c r="C41" s="22">
        <v>5</v>
      </c>
      <c r="D41" s="23">
        <v>3.2283181999999897</v>
      </c>
      <c r="E41" s="23">
        <v>1.3043709898989857</v>
      </c>
      <c r="F41" s="23">
        <v>766.65305173449383</v>
      </c>
      <c r="G41" s="23">
        <v>5369.96484375</v>
      </c>
      <c r="H41" s="23">
        <v>7005.42578125</v>
      </c>
      <c r="I41" s="23">
        <v>81.875</v>
      </c>
      <c r="J41" s="23">
        <v>53.101062499999998</v>
      </c>
      <c r="K41" s="24">
        <v>4.7581510720167378E-2</v>
      </c>
    </row>
    <row r="42" spans="1:11">
      <c r="A42" s="239" t="s">
        <v>68</v>
      </c>
      <c r="B42" s="17" t="s">
        <v>2</v>
      </c>
      <c r="C42" s="17">
        <v>1</v>
      </c>
      <c r="D42" s="18">
        <v>21.393391900000097</v>
      </c>
      <c r="E42" s="18">
        <v>1.1885217722222277</v>
      </c>
      <c r="F42" s="18">
        <v>841.38130522443794</v>
      </c>
      <c r="G42" s="18">
        <v>8515.61328125</v>
      </c>
      <c r="H42" s="18">
        <v>7000.55859375</v>
      </c>
      <c r="I42" s="18">
        <v>86.721649484536087</v>
      </c>
      <c r="J42" s="18">
        <v>61.646221649484531</v>
      </c>
      <c r="K42" s="19">
        <v>0.36265907442935885</v>
      </c>
    </row>
    <row r="43" spans="1:11">
      <c r="A43" s="258"/>
      <c r="B43" s="20" t="s">
        <v>2</v>
      </c>
      <c r="C43" s="20">
        <v>2</v>
      </c>
      <c r="D43" s="4">
        <v>20.278617899999972</v>
      </c>
      <c r="E43" s="4">
        <v>1.1265898833333317</v>
      </c>
      <c r="F43" s="4">
        <v>887.63445757316754</v>
      </c>
      <c r="G43" s="4">
        <v>8515.98828125</v>
      </c>
      <c r="H43" s="4">
        <v>7000.55859375</v>
      </c>
      <c r="I43" s="4">
        <v>89.282608695652172</v>
      </c>
      <c r="J43" s="4">
        <v>64.518559782608691</v>
      </c>
      <c r="K43" s="21">
        <v>0.36013437486474925</v>
      </c>
    </row>
    <row r="44" spans="1:11">
      <c r="A44" s="258"/>
      <c r="B44" s="20" t="s">
        <v>2</v>
      </c>
      <c r="C44" s="20">
        <v>3</v>
      </c>
      <c r="D44" s="4">
        <v>20.691842199999883</v>
      </c>
      <c r="E44" s="4">
        <v>1.1495467888888824</v>
      </c>
      <c r="F44" s="4">
        <v>869.90804521020857</v>
      </c>
      <c r="G44" s="4">
        <v>8516.5703125</v>
      </c>
      <c r="H44" s="4">
        <v>7000.55859375</v>
      </c>
      <c r="I44" s="4">
        <v>87.984042553191486</v>
      </c>
      <c r="J44" s="4">
        <v>62.763739361702129</v>
      </c>
      <c r="K44" s="21">
        <v>0.35862857574308377</v>
      </c>
    </row>
    <row r="45" spans="1:11">
      <c r="A45" s="258"/>
      <c r="B45" s="20" t="s">
        <v>2</v>
      </c>
      <c r="C45" s="20">
        <v>4</v>
      </c>
      <c r="D45" s="4">
        <v>20.73807550000015</v>
      </c>
      <c r="E45" s="4">
        <v>1.152115305555564</v>
      </c>
      <c r="F45" s="4">
        <v>867.96867915732435</v>
      </c>
      <c r="G45" s="4">
        <v>8516.75390625</v>
      </c>
      <c r="H45" s="4">
        <v>7000.55859375</v>
      </c>
      <c r="I45" s="4">
        <v>87.712765957446805</v>
      </c>
      <c r="J45" s="4">
        <v>63.050957446808518</v>
      </c>
      <c r="K45" s="21">
        <v>0.36148715422265049</v>
      </c>
    </row>
    <row r="46" spans="1:11">
      <c r="A46" s="258"/>
      <c r="B46" s="20" t="s">
        <v>2</v>
      </c>
      <c r="C46" s="20">
        <v>5</v>
      </c>
      <c r="D46" s="4">
        <v>20.271915699999909</v>
      </c>
      <c r="E46" s="4">
        <v>1.1262175388888838</v>
      </c>
      <c r="F46" s="4">
        <v>887.92792286523184</v>
      </c>
      <c r="G46" s="4">
        <v>8516.06640625</v>
      </c>
      <c r="H46" s="4">
        <v>7000.55859375</v>
      </c>
      <c r="I46" s="4">
        <v>89.240437158469945</v>
      </c>
      <c r="J46" s="4">
        <v>65.551038251366137</v>
      </c>
      <c r="K46" s="21">
        <v>0.36698260083849932</v>
      </c>
    </row>
    <row r="47" spans="1:11">
      <c r="A47" s="258"/>
      <c r="B47" s="20" t="s">
        <v>3</v>
      </c>
      <c r="C47" s="20">
        <v>1</v>
      </c>
      <c r="D47" s="4">
        <v>8.0137559999999439</v>
      </c>
      <c r="E47" s="4">
        <v>1.3443643683945554</v>
      </c>
      <c r="F47" s="4">
        <v>743.84595687715489</v>
      </c>
      <c r="G47" s="4">
        <v>7445.3828125</v>
      </c>
      <c r="H47" s="4">
        <v>7000.55859375</v>
      </c>
      <c r="I47" s="4">
        <v>80.424657534246577</v>
      </c>
      <c r="J47" s="4">
        <v>50.618561643835612</v>
      </c>
      <c r="K47" s="21">
        <v>0.11239942465101453</v>
      </c>
    </row>
    <row r="48" spans="1:11">
      <c r="A48" s="258"/>
      <c r="B48" s="20" t="s">
        <v>3</v>
      </c>
      <c r="C48" s="20">
        <v>2</v>
      </c>
      <c r="D48" s="4">
        <v>7.1905409999999392</v>
      </c>
      <c r="E48" s="4">
        <v>1.2062642174131755</v>
      </c>
      <c r="F48" s="4">
        <v>829.0057730009537</v>
      </c>
      <c r="G48" s="4">
        <v>7445.8671875</v>
      </c>
      <c r="H48" s="4">
        <v>7000.55859375</v>
      </c>
      <c r="I48" s="4">
        <v>85.969696969696969</v>
      </c>
      <c r="J48" s="4">
        <v>54.612787878787877</v>
      </c>
      <c r="K48" s="21">
        <v>0.10891818546331906</v>
      </c>
    </row>
    <row r="49" spans="1:11">
      <c r="A49" s="258"/>
      <c r="B49" s="20" t="s">
        <v>3</v>
      </c>
      <c r="C49" s="20">
        <v>3</v>
      </c>
      <c r="D49" s="4">
        <v>7.0265276000000085</v>
      </c>
      <c r="E49" s="4">
        <v>1.1787498070793505</v>
      </c>
      <c r="F49" s="4">
        <v>848.35644849669313</v>
      </c>
      <c r="G49" s="4">
        <v>7446.0390625</v>
      </c>
      <c r="H49" s="4">
        <v>7000.55859375</v>
      </c>
      <c r="I49" s="4">
        <v>86.9375</v>
      </c>
      <c r="J49" s="4">
        <v>55.673640624999997</v>
      </c>
      <c r="K49" s="21">
        <v>0.10781541700469487</v>
      </c>
    </row>
    <row r="50" spans="1:11">
      <c r="A50" s="258"/>
      <c r="B50" s="20" t="s">
        <v>3</v>
      </c>
      <c r="C50" s="20">
        <v>4</v>
      </c>
      <c r="D50" s="4">
        <v>7.2351336000000401</v>
      </c>
      <c r="E50" s="4">
        <v>1.2137449421238113</v>
      </c>
      <c r="F50" s="4">
        <v>823.89632722192812</v>
      </c>
      <c r="G50" s="4">
        <v>7446.65234375</v>
      </c>
      <c r="H50" s="4">
        <v>7000.55859375</v>
      </c>
      <c r="I50" s="4">
        <v>87.151515151515156</v>
      </c>
      <c r="J50" s="4">
        <v>53.397393939393943</v>
      </c>
      <c r="K50" s="21">
        <v>0.10575941909598507</v>
      </c>
    </row>
    <row r="51" spans="1:11">
      <c r="A51" s="258"/>
      <c r="B51" s="20" t="s">
        <v>3</v>
      </c>
      <c r="C51" s="20">
        <v>5</v>
      </c>
      <c r="D51" s="4">
        <v>7.0135718999999881</v>
      </c>
      <c r="E51" s="4">
        <v>1.1765763965777534</v>
      </c>
      <c r="F51" s="4">
        <v>849.92356034733314</v>
      </c>
      <c r="G51" s="4">
        <v>7446.52734375</v>
      </c>
      <c r="H51" s="4">
        <v>7000.55859375</v>
      </c>
      <c r="I51" s="4">
        <v>86.75</v>
      </c>
      <c r="J51" s="4">
        <v>56.182015624999998</v>
      </c>
      <c r="K51" s="21">
        <v>0.10971869348355567</v>
      </c>
    </row>
    <row r="52" spans="1:11">
      <c r="A52" s="258"/>
      <c r="B52" s="20" t="s">
        <v>4</v>
      </c>
      <c r="C52" s="20">
        <v>1</v>
      </c>
      <c r="D52" s="4">
        <v>4.517353700000001</v>
      </c>
      <c r="E52" s="4">
        <v>1.5057845666666669</v>
      </c>
      <c r="F52" s="4">
        <v>664.10562449426959</v>
      </c>
      <c r="G52" s="4">
        <v>6507.09765625</v>
      </c>
      <c r="H52" s="4">
        <v>7000.55859375</v>
      </c>
      <c r="I52" s="4">
        <v>66.651162790697668</v>
      </c>
      <c r="J52" s="4">
        <v>43.37823255813953</v>
      </c>
      <c r="K52" s="21">
        <v>5.5136946895444558E-2</v>
      </c>
    </row>
    <row r="53" spans="1:11">
      <c r="A53" s="258"/>
      <c r="B53" s="20" t="s">
        <v>4</v>
      </c>
      <c r="C53" s="20">
        <v>2</v>
      </c>
      <c r="D53" s="4">
        <v>3.4775568999999678</v>
      </c>
      <c r="E53" s="4">
        <v>1.1591856333333226</v>
      </c>
      <c r="F53" s="4">
        <v>862.67459779019805</v>
      </c>
      <c r="G53" s="4">
        <v>6507.23828125</v>
      </c>
      <c r="H53" s="4">
        <v>7000.55859375</v>
      </c>
      <c r="I53" s="4">
        <v>81.303030303030297</v>
      </c>
      <c r="J53" s="4">
        <v>50.24366666666667</v>
      </c>
      <c r="K53" s="21">
        <v>4.8329104067777628E-2</v>
      </c>
    </row>
    <row r="54" spans="1:11">
      <c r="A54" s="258"/>
      <c r="B54" s="20" t="s">
        <v>4</v>
      </c>
      <c r="C54" s="20">
        <v>3</v>
      </c>
      <c r="D54" s="4">
        <v>3.4479716999999823</v>
      </c>
      <c r="E54" s="4">
        <v>1.1493238999999942</v>
      </c>
      <c r="F54" s="4">
        <v>870.07674685961467</v>
      </c>
      <c r="G54" s="4">
        <v>6508.48828125</v>
      </c>
      <c r="H54" s="4">
        <v>7000.55859375</v>
      </c>
      <c r="I54" s="4">
        <v>81.78125</v>
      </c>
      <c r="J54" s="4">
        <v>50.778124999999996</v>
      </c>
      <c r="K54" s="21">
        <v>4.8595146079930755E-2</v>
      </c>
    </row>
    <row r="55" spans="1:11">
      <c r="A55" s="258"/>
      <c r="B55" s="20" t="s">
        <v>4</v>
      </c>
      <c r="C55" s="20">
        <v>4</v>
      </c>
      <c r="D55" s="4">
        <v>3.5925396999999748</v>
      </c>
      <c r="E55" s="4">
        <v>1.1975132333333249</v>
      </c>
      <c r="F55" s="4">
        <v>835.06384076980999</v>
      </c>
      <c r="G55" s="4">
        <v>6507.3203125</v>
      </c>
      <c r="H55" s="4">
        <v>7000.55859375</v>
      </c>
      <c r="I55" s="4">
        <v>81.529411764705884</v>
      </c>
      <c r="J55" s="4">
        <v>48.577117647058834</v>
      </c>
      <c r="K55" s="21">
        <v>4.8247033208792083E-2</v>
      </c>
    </row>
    <row r="56" spans="1:11">
      <c r="A56" s="258"/>
      <c r="B56" s="20" t="s">
        <v>4</v>
      </c>
      <c r="C56" s="20">
        <v>5</v>
      </c>
      <c r="D56" s="4">
        <v>3.4779379999999946</v>
      </c>
      <c r="E56" s="4">
        <v>1.1593126666666649</v>
      </c>
      <c r="F56" s="4">
        <v>862.58006899490579</v>
      </c>
      <c r="G56" s="4">
        <v>6507.33984375</v>
      </c>
      <c r="H56" s="4">
        <v>7000.55859375</v>
      </c>
      <c r="I56" s="4">
        <v>80.36363636363636</v>
      </c>
      <c r="J56" s="4">
        <v>50.958757575757581</v>
      </c>
      <c r="K56" s="21">
        <v>4.9079875061764359E-2</v>
      </c>
    </row>
    <row r="57" spans="1:11">
      <c r="A57" s="258"/>
      <c r="B57" s="20" t="s">
        <v>5</v>
      </c>
      <c r="C57" s="20">
        <v>1</v>
      </c>
      <c r="D57" s="4">
        <v>3.4901889999999867</v>
      </c>
      <c r="E57" s="4">
        <v>1.4101773737373684</v>
      </c>
      <c r="F57" s="4">
        <v>709.1306516638524</v>
      </c>
      <c r="G57" s="4">
        <v>5448.40625</v>
      </c>
      <c r="H57" s="4">
        <v>7000.55859375</v>
      </c>
      <c r="I57" s="4">
        <v>65.575757575757578</v>
      </c>
      <c r="J57" s="4">
        <v>47.163424242424242</v>
      </c>
      <c r="K57" s="21">
        <v>4.5814063956333008E-2</v>
      </c>
    </row>
    <row r="58" spans="1:11">
      <c r="A58" s="258"/>
      <c r="B58" s="20" t="s">
        <v>5</v>
      </c>
      <c r="C58" s="20">
        <v>2</v>
      </c>
      <c r="D58" s="4">
        <v>2.7826364999999953</v>
      </c>
      <c r="E58" s="4">
        <v>1.1242975757575737</v>
      </c>
      <c r="F58" s="4">
        <v>889.44423750640954</v>
      </c>
      <c r="G58" s="4">
        <v>5449.04296875</v>
      </c>
      <c r="H58" s="4">
        <v>7000.55859375</v>
      </c>
      <c r="I58" s="4">
        <v>80.111111111111114</v>
      </c>
      <c r="J58" s="4">
        <v>49.199925925925925</v>
      </c>
      <c r="K58" s="21">
        <v>3.7817960379000051E-2</v>
      </c>
    </row>
    <row r="59" spans="1:11">
      <c r="A59" s="258"/>
      <c r="B59" s="20" t="s">
        <v>5</v>
      </c>
      <c r="C59" s="20">
        <v>3</v>
      </c>
      <c r="D59" s="4">
        <v>2.8957027999999809</v>
      </c>
      <c r="E59" s="4">
        <v>1.1699809292929215</v>
      </c>
      <c r="F59" s="4">
        <v>854.71478633788536</v>
      </c>
      <c r="G59" s="4">
        <v>5449.10546875</v>
      </c>
      <c r="H59" s="4">
        <v>7000.55859375</v>
      </c>
      <c r="I59" s="4">
        <v>78.357142857142861</v>
      </c>
      <c r="J59" s="4">
        <v>47.870071428571428</v>
      </c>
      <c r="K59" s="21">
        <v>3.8275070199110799E-2</v>
      </c>
    </row>
    <row r="60" spans="1:11">
      <c r="A60" s="258"/>
      <c r="B60" s="20" t="s">
        <v>5</v>
      </c>
      <c r="C60" s="20">
        <v>4</v>
      </c>
      <c r="D60" s="4">
        <v>2.8587771999999916</v>
      </c>
      <c r="E60" s="4">
        <v>1.1550614949494915</v>
      </c>
      <c r="F60" s="4">
        <v>865.75477095592032</v>
      </c>
      <c r="G60" s="4">
        <v>5449.125</v>
      </c>
      <c r="H60" s="4">
        <v>7000.55859375</v>
      </c>
      <c r="I60" s="4">
        <v>77.857142857142861</v>
      </c>
      <c r="J60" s="4">
        <v>48.31417857142857</v>
      </c>
      <c r="K60" s="21">
        <v>3.895767169572209E-2</v>
      </c>
    </row>
    <row r="61" spans="1:11" ht="14.5" thickBot="1">
      <c r="A61" s="259"/>
      <c r="B61" s="22" t="s">
        <v>5</v>
      </c>
      <c r="C61" s="22">
        <v>5</v>
      </c>
      <c r="D61" s="23">
        <v>2.8350889999999822</v>
      </c>
      <c r="E61" s="23">
        <v>1.1454905050504978</v>
      </c>
      <c r="F61" s="23">
        <v>872.98846702873016</v>
      </c>
      <c r="G61" s="23">
        <v>5449.1796875</v>
      </c>
      <c r="H61" s="23">
        <v>7000.55859375</v>
      </c>
      <c r="I61" s="23">
        <v>79.703703703703709</v>
      </c>
      <c r="J61" s="23">
        <v>47.373481481481484</v>
      </c>
      <c r="K61" s="24">
        <v>3.74308817064311E-2</v>
      </c>
    </row>
    <row r="62" spans="1:11">
      <c r="A62" s="239" t="s">
        <v>69</v>
      </c>
      <c r="B62" s="17" t="s">
        <v>2</v>
      </c>
      <c r="C62" s="17">
        <v>1</v>
      </c>
      <c r="D62" s="18">
        <v>2.9045488999997815</v>
      </c>
      <c r="E62" s="18">
        <v>0.16136382777776564</v>
      </c>
      <c r="F62" s="18">
        <v>6197.1757473256357</v>
      </c>
      <c r="G62" s="18">
        <v>9671.01171875</v>
      </c>
      <c r="H62" s="18">
        <v>7183.2265625</v>
      </c>
      <c r="I62" s="18">
        <v>56.88</v>
      </c>
      <c r="J62" s="18">
        <v>36.967119999999994</v>
      </c>
      <c r="K62" s="19">
        <v>2.8700901836763139E-2</v>
      </c>
    </row>
    <row r="63" spans="1:11">
      <c r="A63" s="258"/>
      <c r="B63" s="20" t="s">
        <v>2</v>
      </c>
      <c r="C63" s="20">
        <v>2</v>
      </c>
      <c r="D63" s="4">
        <v>2.6001991999999063</v>
      </c>
      <c r="E63" s="4">
        <v>0.14445551111110591</v>
      </c>
      <c r="F63" s="4">
        <v>6922.5465495107637</v>
      </c>
      <c r="G63" s="4">
        <v>9709.9609375</v>
      </c>
      <c r="H63" s="4">
        <v>7183.2265625</v>
      </c>
      <c r="I63" s="4">
        <v>63.625</v>
      </c>
      <c r="J63" s="4">
        <v>37.956208333333336</v>
      </c>
      <c r="K63" s="21">
        <v>2.6911164885319236E-2</v>
      </c>
    </row>
    <row r="64" spans="1:11">
      <c r="A64" s="258"/>
      <c r="B64" s="20" t="s">
        <v>2</v>
      </c>
      <c r="C64" s="20">
        <v>3</v>
      </c>
      <c r="D64" s="4">
        <v>2.6236109999999826</v>
      </c>
      <c r="E64" s="4">
        <v>0.14575616666666569</v>
      </c>
      <c r="F64" s="4">
        <v>6860.7731862688943</v>
      </c>
      <c r="G64" s="4">
        <v>9711.4921875</v>
      </c>
      <c r="H64" s="4">
        <v>7183.2265625</v>
      </c>
      <c r="I64" s="4">
        <v>62.958333333333336</v>
      </c>
      <c r="J64" s="4">
        <v>39.845333333333336</v>
      </c>
      <c r="K64" s="21">
        <v>2.7176290493404597E-2</v>
      </c>
    </row>
    <row r="65" spans="1:11">
      <c r="A65" s="258"/>
      <c r="B65" s="20" t="s">
        <v>2</v>
      </c>
      <c r="C65" s="20">
        <v>4</v>
      </c>
      <c r="D65" s="4">
        <v>2.633234899999934</v>
      </c>
      <c r="E65" s="4">
        <v>0.14629082777777411</v>
      </c>
      <c r="F65" s="4">
        <v>6835.698554656271</v>
      </c>
      <c r="G65" s="4">
        <v>9712.4921875</v>
      </c>
      <c r="H65" s="4">
        <v>7183.2265625</v>
      </c>
      <c r="I65" s="4">
        <v>60.541666666666664</v>
      </c>
      <c r="J65" s="4">
        <v>36.171208333333333</v>
      </c>
      <c r="K65" s="21">
        <v>2.598488398436119E-2</v>
      </c>
    </row>
    <row r="66" spans="1:11">
      <c r="A66" s="258"/>
      <c r="B66" s="20" t="s">
        <v>2</v>
      </c>
      <c r="C66" s="20">
        <v>5</v>
      </c>
      <c r="D66" s="4">
        <v>2.5156521000001248</v>
      </c>
      <c r="E66" s="4">
        <v>0.13975845000000692</v>
      </c>
      <c r="F66" s="4">
        <v>7155.2024224649767</v>
      </c>
      <c r="G66" s="4">
        <v>9712.8359375</v>
      </c>
      <c r="H66" s="4">
        <v>7183.2265625</v>
      </c>
      <c r="I66" s="4">
        <v>61.166666666666664</v>
      </c>
      <c r="J66" s="4">
        <v>36.839083333333335</v>
      </c>
      <c r="K66" s="21">
        <v>2.6081453325291326E-2</v>
      </c>
    </row>
    <row r="67" spans="1:11">
      <c r="A67" s="258"/>
      <c r="B67" s="20" t="s">
        <v>3</v>
      </c>
      <c r="C67" s="20">
        <v>1</v>
      </c>
      <c r="D67" s="4">
        <v>1.3106767999997828</v>
      </c>
      <c r="E67" s="4">
        <v>0.21987532293235748</v>
      </c>
      <c r="F67" s="4">
        <v>4548.0319785937982</v>
      </c>
      <c r="G67" s="4">
        <v>7259.33203125</v>
      </c>
      <c r="H67" s="4">
        <v>7183.1875</v>
      </c>
      <c r="I67" s="4">
        <v>52.692307692307693</v>
      </c>
      <c r="J67" s="4">
        <v>16.957692307692305</v>
      </c>
      <c r="K67" s="21">
        <v>5.0661184318753893E-3</v>
      </c>
    </row>
    <row r="68" spans="1:11">
      <c r="A68" s="258"/>
      <c r="B68" s="20" t="s">
        <v>3</v>
      </c>
      <c r="C68" s="20">
        <v>2</v>
      </c>
      <c r="D68" s="4">
        <v>1.2186602000001585</v>
      </c>
      <c r="E68" s="4">
        <v>0.20443888609296401</v>
      </c>
      <c r="F68" s="4">
        <v>4891.4373342127892</v>
      </c>
      <c r="G68" s="4">
        <v>7272.390625</v>
      </c>
      <c r="H68" s="4">
        <v>7183.1875</v>
      </c>
      <c r="I68" s="4">
        <v>62.18181818181818</v>
      </c>
      <c r="J68" s="4">
        <v>16.717181818181817</v>
      </c>
      <c r="K68" s="21">
        <v>4.5483753548755121E-3</v>
      </c>
    </row>
    <row r="69" spans="1:11">
      <c r="A69" s="258"/>
      <c r="B69" s="20" t="s">
        <v>3</v>
      </c>
      <c r="C69" s="20">
        <v>3</v>
      </c>
      <c r="D69" s="4">
        <v>1.0553256999999121</v>
      </c>
      <c r="E69" s="4">
        <v>0.17703836604595072</v>
      </c>
      <c r="F69" s="4">
        <v>5648.4931618745723</v>
      </c>
      <c r="G69" s="4">
        <v>7273.3515625</v>
      </c>
      <c r="H69" s="4">
        <v>7183.1875</v>
      </c>
      <c r="I69" s="4">
        <v>55</v>
      </c>
      <c r="J69" s="4">
        <v>14.945545454545455</v>
      </c>
      <c r="K69" s="21">
        <v>3.6716725505015562E-3</v>
      </c>
    </row>
    <row r="70" spans="1:11">
      <c r="A70" s="258"/>
      <c r="B70" s="20" t="s">
        <v>3</v>
      </c>
      <c r="C70" s="20">
        <v>4</v>
      </c>
      <c r="D70" s="4">
        <v>1.1170397999999295</v>
      </c>
      <c r="E70" s="4">
        <v>0.18739134373426095</v>
      </c>
      <c r="F70" s="4">
        <v>5336.4257925280517</v>
      </c>
      <c r="G70" s="4">
        <v>7273.64453125</v>
      </c>
      <c r="H70" s="4">
        <v>7183.1875</v>
      </c>
      <c r="I70" s="4">
        <v>64.181818181818187</v>
      </c>
      <c r="J70" s="4">
        <v>16.484636363636362</v>
      </c>
      <c r="K70" s="21">
        <v>3.9530118287907853E-3</v>
      </c>
    </row>
    <row r="71" spans="1:11">
      <c r="A71" s="258"/>
      <c r="B71" s="20" t="s">
        <v>3</v>
      </c>
      <c r="C71" s="20">
        <v>5</v>
      </c>
      <c r="D71" s="4">
        <v>1.0785611000001154</v>
      </c>
      <c r="E71" s="4">
        <v>0.18093626908238811</v>
      </c>
      <c r="F71" s="4">
        <v>5526.8078924776373</v>
      </c>
      <c r="G71" s="4">
        <v>7274.3203125</v>
      </c>
      <c r="H71" s="4">
        <v>7183.1875</v>
      </c>
      <c r="I71" s="4">
        <v>62.727272727272727</v>
      </c>
      <c r="J71" s="4">
        <v>14.367909090909091</v>
      </c>
      <c r="K71" s="21">
        <v>3.1379687872908342E-3</v>
      </c>
    </row>
    <row r="72" spans="1:11">
      <c r="A72" s="258"/>
      <c r="B72" s="20" t="s">
        <v>4</v>
      </c>
      <c r="C72" s="20">
        <v>1</v>
      </c>
      <c r="D72" s="4">
        <v>0.94528680000001941</v>
      </c>
      <c r="E72" s="4">
        <v>0.31509560000000647</v>
      </c>
      <c r="F72" s="4">
        <v>3173.6400000507128</v>
      </c>
      <c r="G72" s="4">
        <v>6294.7265625</v>
      </c>
      <c r="H72" s="4">
        <v>7183.1875</v>
      </c>
      <c r="I72" s="4">
        <v>61.9</v>
      </c>
      <c r="J72" s="4">
        <v>5.1764000000000001</v>
      </c>
      <c r="K72" s="21">
        <v>1.1442520274306395E-3</v>
      </c>
    </row>
    <row r="73" spans="1:11">
      <c r="A73" s="258"/>
      <c r="B73" s="20" t="s">
        <v>4</v>
      </c>
      <c r="C73" s="20">
        <v>2</v>
      </c>
      <c r="D73" s="4">
        <v>0.67464719999998124</v>
      </c>
      <c r="E73" s="4">
        <v>0.22488239999999374</v>
      </c>
      <c r="F73" s="4">
        <v>4446.7686221777594</v>
      </c>
      <c r="G73" s="4">
        <v>6303.22265625</v>
      </c>
      <c r="H73" s="4">
        <v>7183.1875</v>
      </c>
      <c r="I73" s="4">
        <v>51.375</v>
      </c>
      <c r="J73" s="4">
        <v>9.1814999999999998</v>
      </c>
      <c r="K73" s="21">
        <v>1.6262525584582928E-3</v>
      </c>
    </row>
    <row r="74" spans="1:11">
      <c r="A74" s="258"/>
      <c r="B74" s="20" t="s">
        <v>4</v>
      </c>
      <c r="C74" s="20">
        <v>3</v>
      </c>
      <c r="D74" s="4">
        <v>0.70612629999999399</v>
      </c>
      <c r="E74" s="4">
        <v>0.23537543333333133</v>
      </c>
      <c r="F74" s="4">
        <v>4248.5317428341441</v>
      </c>
      <c r="G74" s="4">
        <v>6303.8828125</v>
      </c>
      <c r="H74" s="4">
        <v>7183.1875</v>
      </c>
      <c r="I74" s="4">
        <v>44.625</v>
      </c>
      <c r="J74" s="4">
        <v>7.8602499999999997</v>
      </c>
      <c r="K74" s="21">
        <v>1.4888272102639918E-3</v>
      </c>
    </row>
    <row r="75" spans="1:11">
      <c r="A75" s="258"/>
      <c r="B75" s="20" t="s">
        <v>4</v>
      </c>
      <c r="C75" s="20">
        <v>4</v>
      </c>
      <c r="D75" s="4">
        <v>0.6968838999999889</v>
      </c>
      <c r="E75" s="4">
        <v>0.23229463333332961</v>
      </c>
      <c r="F75" s="4">
        <v>4304.8777565388555</v>
      </c>
      <c r="G75" s="4">
        <v>6304.4765625</v>
      </c>
      <c r="H75" s="4">
        <v>7183.1875</v>
      </c>
      <c r="I75" s="4">
        <v>51.75</v>
      </c>
      <c r="J75" s="4">
        <v>6.3227499999999992</v>
      </c>
      <c r="K75" s="21">
        <v>1.157636716014009E-3</v>
      </c>
    </row>
    <row r="76" spans="1:11">
      <c r="A76" s="258"/>
      <c r="B76" s="20" t="s">
        <v>4</v>
      </c>
      <c r="C76" s="20">
        <v>5</v>
      </c>
      <c r="D76" s="4">
        <v>0.6580648999999994</v>
      </c>
      <c r="E76" s="4">
        <v>0.21935496666666648</v>
      </c>
      <c r="F76" s="4">
        <v>4558.8208700995947</v>
      </c>
      <c r="G76" s="4">
        <v>6304.8359375</v>
      </c>
      <c r="H76" s="4">
        <v>7183.1875</v>
      </c>
      <c r="I76" s="4">
        <v>51.5</v>
      </c>
      <c r="J76" s="4">
        <v>7.0539999999999994</v>
      </c>
      <c r="K76" s="21">
        <v>1.2158288351527928E-3</v>
      </c>
    </row>
    <row r="77" spans="1:11">
      <c r="A77" s="258"/>
      <c r="B77" s="20" t="s">
        <v>5</v>
      </c>
      <c r="C77" s="20">
        <v>1</v>
      </c>
      <c r="D77" s="4">
        <v>0.70354399999996531</v>
      </c>
      <c r="E77" s="4">
        <v>0.28426020202018798</v>
      </c>
      <c r="F77" s="4">
        <v>3517.9036421320088</v>
      </c>
      <c r="G77" s="4">
        <v>5252.76171875</v>
      </c>
      <c r="H77" s="4">
        <v>7183.1875</v>
      </c>
      <c r="I77" s="4">
        <v>43.25</v>
      </c>
      <c r="J77" s="4">
        <v>5.4146250000000009</v>
      </c>
      <c r="K77" s="21">
        <v>9.318179034165829E-4</v>
      </c>
    </row>
    <row r="78" spans="1:11">
      <c r="A78" s="258"/>
      <c r="B78" s="20" t="s">
        <v>5</v>
      </c>
      <c r="C78" s="20">
        <v>2</v>
      </c>
      <c r="D78" s="4">
        <v>0.57462889999999334</v>
      </c>
      <c r="E78" s="4">
        <v>0.23217329292929023</v>
      </c>
      <c r="F78" s="4">
        <v>4307.127608792438</v>
      </c>
      <c r="G78" s="4">
        <v>5259.68359375</v>
      </c>
      <c r="H78" s="4">
        <v>7183.1875</v>
      </c>
      <c r="I78" s="4">
        <v>48</v>
      </c>
      <c r="J78" s="4">
        <v>6.0564285714285706</v>
      </c>
      <c r="K78" s="21">
        <v>8.9352228336108221E-4</v>
      </c>
    </row>
    <row r="79" spans="1:11">
      <c r="A79" s="258"/>
      <c r="B79" s="20" t="s">
        <v>5</v>
      </c>
      <c r="C79" s="20">
        <v>3</v>
      </c>
      <c r="D79" s="4">
        <v>0.69099599999998418</v>
      </c>
      <c r="E79" s="4">
        <v>0.27919030303029663</v>
      </c>
      <c r="F79" s="4">
        <v>3581.7862910929393</v>
      </c>
      <c r="G79" s="4">
        <v>5261.6484375</v>
      </c>
      <c r="H79" s="4">
        <v>7183.1875</v>
      </c>
      <c r="I79" s="4">
        <v>56.125</v>
      </c>
      <c r="J79" s="4">
        <v>4.2833749999999995</v>
      </c>
      <c r="K79" s="21">
        <v>6.996222127499534E-4</v>
      </c>
    </row>
    <row r="80" spans="1:11">
      <c r="A80" s="258"/>
      <c r="B80" s="20" t="s">
        <v>5</v>
      </c>
      <c r="C80" s="20">
        <v>4</v>
      </c>
      <c r="D80" s="4">
        <v>0.73831190000004199</v>
      </c>
      <c r="E80" s="4">
        <v>0.29830783838385533</v>
      </c>
      <c r="F80" s="4">
        <v>3352.2417829102569</v>
      </c>
      <c r="G80" s="4">
        <v>5262.734375</v>
      </c>
      <c r="H80" s="4">
        <v>7183.1875</v>
      </c>
      <c r="I80" s="4">
        <v>56.555555555555557</v>
      </c>
      <c r="J80" s="4">
        <v>6.6332222222222219</v>
      </c>
      <c r="K80" s="21">
        <v>1.2894384614028471E-3</v>
      </c>
    </row>
    <row r="81" spans="1:11" ht="14.5" thickBot="1">
      <c r="A81" s="259"/>
      <c r="B81" s="22" t="s">
        <v>5</v>
      </c>
      <c r="C81" s="22">
        <v>5</v>
      </c>
      <c r="D81" s="23">
        <v>0.63845820000000231</v>
      </c>
      <c r="E81" s="23">
        <v>0.25796290909091002</v>
      </c>
      <c r="F81" s="23">
        <v>3876.5262941254277</v>
      </c>
      <c r="G81" s="23">
        <v>5262.921875</v>
      </c>
      <c r="H81" s="23">
        <v>7183.1875</v>
      </c>
      <c r="I81" s="23">
        <v>49.75</v>
      </c>
      <c r="J81" s="23">
        <v>5.9956250000000004</v>
      </c>
      <c r="K81" s="24">
        <v>9.3294090054154167E-4</v>
      </c>
    </row>
    <row r="82" spans="1:11">
      <c r="A82" s="239" t="s">
        <v>71</v>
      </c>
      <c r="B82" s="92" t="s">
        <v>2</v>
      </c>
      <c r="C82" s="92">
        <v>1</v>
      </c>
      <c r="D82" s="93">
        <v>11.994296899999881</v>
      </c>
      <c r="E82" s="93">
        <v>0.66634982777777119</v>
      </c>
      <c r="F82" s="93">
        <v>1500.7132264668369</v>
      </c>
      <c r="G82" s="93">
        <v>9792.34765625</v>
      </c>
      <c r="H82" s="93">
        <v>6958.71484375</v>
      </c>
      <c r="I82" s="93">
        <v>74.398148148148152</v>
      </c>
      <c r="J82" s="93">
        <v>52.303314814814811</v>
      </c>
      <c r="K82" s="94">
        <v>0.17299388227858287</v>
      </c>
    </row>
    <row r="83" spans="1:11">
      <c r="A83" s="258"/>
      <c r="B83" s="90" t="s">
        <v>2</v>
      </c>
      <c r="C83" s="90">
        <v>2</v>
      </c>
      <c r="D83" s="91">
        <v>11.446279100000083</v>
      </c>
      <c r="E83" s="91">
        <v>0.63590439444444902</v>
      </c>
      <c r="F83" s="91">
        <v>1572.5634367940468</v>
      </c>
      <c r="G83" s="91">
        <v>9824.7890625</v>
      </c>
      <c r="H83" s="91">
        <v>6958.71484375</v>
      </c>
      <c r="I83" s="91">
        <v>77.211538461538467</v>
      </c>
      <c r="J83" s="91">
        <v>53.13386538461539</v>
      </c>
      <c r="K83" s="95">
        <v>0.16790521718255519</v>
      </c>
    </row>
    <row r="84" spans="1:11">
      <c r="A84" s="258"/>
      <c r="B84" s="90" t="s">
        <v>2</v>
      </c>
      <c r="C84" s="90">
        <v>3</v>
      </c>
      <c r="D84" s="91">
        <v>11.148108099999945</v>
      </c>
      <c r="E84" s="91">
        <v>0.61933933888888582</v>
      </c>
      <c r="F84" s="91">
        <v>1614.6237405071529</v>
      </c>
      <c r="G84" s="91">
        <v>9826.42578125</v>
      </c>
      <c r="H84" s="91">
        <v>6958.71484375</v>
      </c>
      <c r="I84" s="91">
        <v>76.372549019607845</v>
      </c>
      <c r="J84" s="91">
        <v>55.379490196078429</v>
      </c>
      <c r="K84" s="95">
        <v>0.17214894906141548</v>
      </c>
    </row>
    <row r="85" spans="1:11">
      <c r="A85" s="258"/>
      <c r="B85" s="90" t="s">
        <v>2</v>
      </c>
      <c r="C85" s="90">
        <v>4</v>
      </c>
      <c r="D85" s="91">
        <v>11.072720499999832</v>
      </c>
      <c r="E85" s="91">
        <v>0.61515113888887951</v>
      </c>
      <c r="F85" s="91">
        <v>1625.6167578690597</v>
      </c>
      <c r="G85" s="91">
        <v>9827.62109375</v>
      </c>
      <c r="H85" s="91">
        <v>6958.71484375</v>
      </c>
      <c r="I85" s="91">
        <v>76.78217821782178</v>
      </c>
      <c r="J85" s="91">
        <v>56.073514851485143</v>
      </c>
      <c r="K85" s="95">
        <v>0.17253778050690066</v>
      </c>
    </row>
    <row r="86" spans="1:11">
      <c r="A86" s="258"/>
      <c r="B86" s="90" t="s">
        <v>2</v>
      </c>
      <c r="C86" s="90">
        <v>5</v>
      </c>
      <c r="D86" s="91">
        <v>11.165602400000125</v>
      </c>
      <c r="E86" s="91">
        <v>0.6203112444444514</v>
      </c>
      <c r="F86" s="91">
        <v>1612.0939430907729</v>
      </c>
      <c r="G86" s="91">
        <v>9828.328125</v>
      </c>
      <c r="H86" s="91">
        <v>6958.71484375</v>
      </c>
      <c r="I86" s="91">
        <v>77.148514851485146</v>
      </c>
      <c r="J86" s="91">
        <v>54.866099009900985</v>
      </c>
      <c r="K86" s="95">
        <v>0.16983158657740294</v>
      </c>
    </row>
    <row r="87" spans="1:11">
      <c r="A87" s="258"/>
      <c r="B87" s="90" t="s">
        <v>3</v>
      </c>
      <c r="C87" s="90">
        <v>1</v>
      </c>
      <c r="D87" s="91">
        <v>4.66205889999992</v>
      </c>
      <c r="E87" s="91">
        <v>0.78209342392214731</v>
      </c>
      <c r="F87" s="91">
        <v>1278.6196244753799</v>
      </c>
      <c r="G87" s="91">
        <v>7473.1171875</v>
      </c>
      <c r="H87" s="91">
        <v>6982.83984375</v>
      </c>
      <c r="I87" s="91">
        <v>65.930232558139537</v>
      </c>
      <c r="J87" s="91">
        <v>46.747813953488368</v>
      </c>
      <c r="K87" s="95">
        <v>5.9727284218707946E-2</v>
      </c>
    </row>
    <row r="88" spans="1:11">
      <c r="A88" s="258"/>
      <c r="B88" s="90" t="s">
        <v>3</v>
      </c>
      <c r="C88" s="90">
        <v>2</v>
      </c>
      <c r="D88" s="91">
        <v>3.9777792999999519</v>
      </c>
      <c r="E88" s="91">
        <v>0.6673006710283429</v>
      </c>
      <c r="F88" s="91">
        <v>1498.5748455174655</v>
      </c>
      <c r="G88" s="91">
        <v>7478.47265625</v>
      </c>
      <c r="H88" s="91">
        <v>6982.83984375</v>
      </c>
      <c r="I88" s="91">
        <v>71.815789473684205</v>
      </c>
      <c r="J88" s="91">
        <v>46.387236842105267</v>
      </c>
      <c r="K88" s="95">
        <v>5.1931932781541505E-2</v>
      </c>
    </row>
    <row r="89" spans="1:11">
      <c r="A89" s="258"/>
      <c r="B89" s="90" t="s">
        <v>3</v>
      </c>
      <c r="C89" s="90">
        <v>3</v>
      </c>
      <c r="D89" s="91">
        <v>3.7595714000000271</v>
      </c>
      <c r="E89" s="91">
        <v>0.63069474920315838</v>
      </c>
      <c r="F89" s="91">
        <v>1585.5530766086679</v>
      </c>
      <c r="G89" s="91">
        <v>7479.44140625</v>
      </c>
      <c r="H89" s="91">
        <v>6982.83984375</v>
      </c>
      <c r="I89" s="91">
        <v>73.833333333333329</v>
      </c>
      <c r="J89" s="91">
        <v>47.046027777777773</v>
      </c>
      <c r="K89" s="95">
        <v>4.9811439151014401E-2</v>
      </c>
    </row>
    <row r="90" spans="1:11">
      <c r="A90" s="258"/>
      <c r="B90" s="90" t="s">
        <v>3</v>
      </c>
      <c r="C90" s="90">
        <v>4</v>
      </c>
      <c r="D90" s="91">
        <v>3.9299383000000034</v>
      </c>
      <c r="E90" s="91">
        <v>0.65927500419392771</v>
      </c>
      <c r="F90" s="91">
        <v>1516.8177067818074</v>
      </c>
      <c r="G90" s="91">
        <v>7480.3046875</v>
      </c>
      <c r="H90" s="91">
        <v>6982.83984375</v>
      </c>
      <c r="I90" s="91">
        <v>74.540540540540547</v>
      </c>
      <c r="J90" s="91">
        <v>44.800783783783785</v>
      </c>
      <c r="K90" s="95">
        <v>5.029108051737545E-2</v>
      </c>
    </row>
    <row r="91" spans="1:11">
      <c r="A91" s="258"/>
      <c r="B91" s="90" t="s">
        <v>3</v>
      </c>
      <c r="C91" s="90">
        <v>5</v>
      </c>
      <c r="D91" s="91">
        <v>3.745345000000043</v>
      </c>
      <c r="E91" s="91">
        <v>0.62830816977018</v>
      </c>
      <c r="F91" s="91">
        <v>1591.5756759390474</v>
      </c>
      <c r="G91" s="91">
        <v>7480.23828125</v>
      </c>
      <c r="H91" s="91">
        <v>6982.83984375</v>
      </c>
      <c r="I91" s="91">
        <v>73.916666666666671</v>
      </c>
      <c r="J91" s="91">
        <v>47.447861111111109</v>
      </c>
      <c r="K91" s="95">
        <v>5.0282222805167004E-2</v>
      </c>
    </row>
    <row r="92" spans="1:11">
      <c r="A92" s="258"/>
      <c r="B92" s="90" t="s">
        <v>4</v>
      </c>
      <c r="C92" s="90">
        <v>1</v>
      </c>
      <c r="D92" s="91">
        <v>2.677430500000014</v>
      </c>
      <c r="E92" s="91">
        <v>0.89247683333333805</v>
      </c>
      <c r="F92" s="91">
        <v>1120.4772635554814</v>
      </c>
      <c r="G92" s="91">
        <v>6530.99609375</v>
      </c>
      <c r="H92" s="91">
        <v>6983.02734375</v>
      </c>
      <c r="I92" s="91">
        <v>56</v>
      </c>
      <c r="J92" s="91">
        <v>36.234320000000004</v>
      </c>
      <c r="K92" s="95">
        <v>2.7427235573694461E-2</v>
      </c>
    </row>
    <row r="93" spans="1:11">
      <c r="A93" s="258"/>
      <c r="B93" s="90" t="s">
        <v>4</v>
      </c>
      <c r="C93" s="90">
        <v>2</v>
      </c>
      <c r="D93" s="91">
        <v>2.1454158000000234</v>
      </c>
      <c r="E93" s="91">
        <v>0.71513860000000784</v>
      </c>
      <c r="F93" s="91">
        <v>1398.3303376436247</v>
      </c>
      <c r="G93" s="91">
        <v>6531.92578125</v>
      </c>
      <c r="H93" s="91">
        <v>6983.02734375</v>
      </c>
      <c r="I93" s="91">
        <v>72.13636363636364</v>
      </c>
      <c r="J93" s="91">
        <v>40.74722727272728</v>
      </c>
      <c r="K93" s="95">
        <v>2.5881286226402147E-2</v>
      </c>
    </row>
    <row r="94" spans="1:11">
      <c r="A94" s="258"/>
      <c r="B94" s="90" t="s">
        <v>4</v>
      </c>
      <c r="C94" s="90">
        <v>3</v>
      </c>
      <c r="D94" s="91">
        <v>2.0933203000000731</v>
      </c>
      <c r="E94" s="91">
        <v>0.69777343333335762</v>
      </c>
      <c r="F94" s="91">
        <v>1433.1299419395566</v>
      </c>
      <c r="G94" s="91">
        <v>6532.05859375</v>
      </c>
      <c r="H94" s="91">
        <v>6983.02734375</v>
      </c>
      <c r="I94" s="91">
        <v>69.38095238095238</v>
      </c>
      <c r="J94" s="91">
        <v>37.389142857142858</v>
      </c>
      <c r="K94" s="95">
        <v>2.2061155291695052E-2</v>
      </c>
    </row>
    <row r="95" spans="1:11">
      <c r="A95" s="258"/>
      <c r="B95" s="90" t="s">
        <v>4</v>
      </c>
      <c r="C95" s="90">
        <v>4</v>
      </c>
      <c r="D95" s="91">
        <v>1.987782100000004</v>
      </c>
      <c r="E95" s="91">
        <v>0.66259403333333466</v>
      </c>
      <c r="F95" s="91">
        <v>1509.2197479794158</v>
      </c>
      <c r="G95" s="91">
        <v>6532.1640625</v>
      </c>
      <c r="H95" s="91">
        <v>6983.02734375</v>
      </c>
      <c r="I95" s="91">
        <v>70.05</v>
      </c>
      <c r="J95" s="91">
        <v>34.3491</v>
      </c>
      <c r="K95" s="95">
        <v>1.9848784536597233E-2</v>
      </c>
    </row>
    <row r="96" spans="1:11">
      <c r="A96" s="258"/>
      <c r="B96" s="90" t="s">
        <v>4</v>
      </c>
      <c r="C96" s="90">
        <v>5</v>
      </c>
      <c r="D96" s="91">
        <v>2.0387286000000131</v>
      </c>
      <c r="E96" s="91">
        <v>0.6795762000000044</v>
      </c>
      <c r="F96" s="91">
        <v>1471.5053293508417</v>
      </c>
      <c r="G96" s="91">
        <v>6532.16796875</v>
      </c>
      <c r="H96" s="91">
        <v>6983.02734375</v>
      </c>
      <c r="I96" s="91">
        <v>68.904761904761898</v>
      </c>
      <c r="J96" s="91">
        <v>36.025904761904769</v>
      </c>
      <c r="K96" s="95">
        <v>2.0393750501458668E-2</v>
      </c>
    </row>
    <row r="97" spans="1:11">
      <c r="A97" s="258"/>
      <c r="B97" s="90" t="s">
        <v>5</v>
      </c>
      <c r="C97" s="90">
        <v>1</v>
      </c>
      <c r="D97" s="91">
        <v>2.8300978999999984</v>
      </c>
      <c r="E97" s="91">
        <v>1.1434738989898983</v>
      </c>
      <c r="F97" s="91">
        <v>874.52805077873859</v>
      </c>
      <c r="G97" s="91">
        <v>5461.6015625</v>
      </c>
      <c r="H97" s="91">
        <v>6983.02734375</v>
      </c>
      <c r="I97" s="91">
        <v>55.851851851851855</v>
      </c>
      <c r="J97" s="91">
        <v>23.926592592592588</v>
      </c>
      <c r="K97" s="95">
        <v>1.8148743486930734E-2</v>
      </c>
    </row>
    <row r="98" spans="1:11">
      <c r="A98" s="258"/>
      <c r="B98" s="90" t="s">
        <v>5</v>
      </c>
      <c r="C98" s="90">
        <v>2</v>
      </c>
      <c r="D98" s="91">
        <v>1.6913610999999946</v>
      </c>
      <c r="E98" s="91">
        <v>0.68337822222222</v>
      </c>
      <c r="F98" s="91">
        <v>1463.318507207011</v>
      </c>
      <c r="G98" s="91">
        <v>5463.14453125</v>
      </c>
      <c r="H98" s="91">
        <v>6983.02734375</v>
      </c>
      <c r="I98" s="91">
        <v>68.235294117647058</v>
      </c>
      <c r="J98" s="91">
        <v>29.346117647058826</v>
      </c>
      <c r="K98" s="95">
        <v>1.3808881666430619E-2</v>
      </c>
    </row>
    <row r="99" spans="1:11">
      <c r="A99" s="258"/>
      <c r="B99" s="90" t="s">
        <v>5</v>
      </c>
      <c r="C99" s="90">
        <v>3</v>
      </c>
      <c r="D99" s="91">
        <v>1.7062322000000165</v>
      </c>
      <c r="E99" s="91">
        <v>0.68938674747475415</v>
      </c>
      <c r="F99" s="91">
        <v>1450.5645831792274</v>
      </c>
      <c r="G99" s="91">
        <v>5463.203125</v>
      </c>
      <c r="H99" s="91">
        <v>6983.02734375</v>
      </c>
      <c r="I99" s="91">
        <v>65.777777777777771</v>
      </c>
      <c r="J99" s="91">
        <v>30.22872222222222</v>
      </c>
      <c r="K99" s="95">
        <v>1.4300968579305372E-2</v>
      </c>
    </row>
    <row r="100" spans="1:11">
      <c r="A100" s="258"/>
      <c r="B100" s="90" t="s">
        <v>5</v>
      </c>
      <c r="C100" s="90">
        <v>4</v>
      </c>
      <c r="D100" s="91">
        <v>1.6761301999999887</v>
      </c>
      <c r="E100" s="91">
        <v>0.67722432323231863</v>
      </c>
      <c r="F100" s="91">
        <v>1476.61559943256</v>
      </c>
      <c r="G100" s="91">
        <v>5464.1796875</v>
      </c>
      <c r="H100" s="91">
        <v>6983.02734375</v>
      </c>
      <c r="I100" s="91">
        <v>67.470588235294116</v>
      </c>
      <c r="J100" s="91">
        <v>29.083294117647057</v>
      </c>
      <c r="K100" s="95">
        <v>1.3502193456083458E-2</v>
      </c>
    </row>
    <row r="101" spans="1:11" ht="14.5" thickBot="1">
      <c r="A101" s="259"/>
      <c r="B101" s="96" t="s">
        <v>5</v>
      </c>
      <c r="C101" s="96">
        <v>5</v>
      </c>
      <c r="D101" s="97">
        <v>1.6441767000000027</v>
      </c>
      <c r="E101" s="97">
        <v>0.66431381818181934</v>
      </c>
      <c r="F101" s="97">
        <v>1505.312658913118</v>
      </c>
      <c r="G101" s="97">
        <v>5463.2578125</v>
      </c>
      <c r="H101" s="97">
        <v>6983.02734375</v>
      </c>
      <c r="I101" s="97">
        <v>64.82352941176471</v>
      </c>
      <c r="J101" s="97">
        <v>30.639235294117643</v>
      </c>
      <c r="K101" s="98">
        <v>1.399521472451393E-2</v>
      </c>
    </row>
    <row r="102" spans="1:11">
      <c r="A102" s="239" t="s">
        <v>74</v>
      </c>
      <c r="B102" s="101" t="s">
        <v>2</v>
      </c>
      <c r="C102" s="101">
        <v>1</v>
      </c>
      <c r="D102" s="102">
        <v>135.10719879999999</v>
      </c>
      <c r="E102" s="102">
        <v>7.5059554888888886</v>
      </c>
      <c r="F102" s="102">
        <v>133.2275419805388</v>
      </c>
      <c r="G102" s="102">
        <v>8800.63671875</v>
      </c>
      <c r="H102" s="102">
        <v>2636.734375</v>
      </c>
      <c r="I102" s="102">
        <v>50.769026548672564</v>
      </c>
      <c r="J102" s="102">
        <v>50.490930088495574</v>
      </c>
      <c r="K102" s="103">
        <v>1.9018513530827466</v>
      </c>
    </row>
    <row r="103" spans="1:11">
      <c r="A103" s="258"/>
      <c r="B103" s="99" t="s">
        <v>2</v>
      </c>
      <c r="C103" s="99">
        <v>2</v>
      </c>
      <c r="D103" s="100">
        <v>138.30676130000006</v>
      </c>
      <c r="E103" s="100">
        <v>7.6837089611111145</v>
      </c>
      <c r="F103" s="100">
        <v>130.14548118118643</v>
      </c>
      <c r="G103" s="100">
        <v>8801.31640625</v>
      </c>
      <c r="H103" s="100">
        <v>2636.734375</v>
      </c>
      <c r="I103" s="100">
        <v>48.838095238095235</v>
      </c>
      <c r="J103" s="100">
        <v>51.555776623376623</v>
      </c>
      <c r="K103" s="104">
        <v>1.9879106403140441</v>
      </c>
    </row>
    <row r="104" spans="1:11">
      <c r="A104" s="258"/>
      <c r="B104" s="99" t="s">
        <v>2</v>
      </c>
      <c r="C104" s="99">
        <v>3</v>
      </c>
      <c r="D104" s="100">
        <v>128.07809739999993</v>
      </c>
      <c r="E104" s="100">
        <v>7.1154498555555517</v>
      </c>
      <c r="F104" s="100">
        <v>140.53925195175495</v>
      </c>
      <c r="G104" s="100">
        <v>8801.3828125</v>
      </c>
      <c r="H104" s="100">
        <v>2636.734375</v>
      </c>
      <c r="I104" s="100">
        <v>52.201869158878502</v>
      </c>
      <c r="J104" s="100">
        <v>54.834715887850464</v>
      </c>
      <c r="K104" s="104">
        <v>1.9541378000682783</v>
      </c>
    </row>
    <row r="105" spans="1:11">
      <c r="A105" s="258"/>
      <c r="B105" s="99" t="s">
        <v>2</v>
      </c>
      <c r="C105" s="99">
        <v>4</v>
      </c>
      <c r="D105" s="100">
        <v>122.28836190000004</v>
      </c>
      <c r="E105" s="100">
        <v>6.7937978833333359</v>
      </c>
      <c r="F105" s="100">
        <v>147.19307479741451</v>
      </c>
      <c r="G105" s="100">
        <v>8801.45703125</v>
      </c>
      <c r="H105" s="100">
        <v>2636.734375</v>
      </c>
      <c r="I105" s="100">
        <v>54.810176125244617</v>
      </c>
      <c r="J105" s="100">
        <v>56.787069471624271</v>
      </c>
      <c r="K105" s="104">
        <v>1.9314510331366948</v>
      </c>
    </row>
    <row r="106" spans="1:11">
      <c r="A106" s="258"/>
      <c r="B106" s="99" t="s">
        <v>2</v>
      </c>
      <c r="C106" s="99">
        <v>5</v>
      </c>
      <c r="D106" s="100">
        <v>124.43429579999997</v>
      </c>
      <c r="E106" s="100">
        <v>6.9130164333333317</v>
      </c>
      <c r="F106" s="100">
        <v>144.65465396236851</v>
      </c>
      <c r="G106" s="100">
        <v>8801.46875</v>
      </c>
      <c r="H106" s="100">
        <v>2636.734375</v>
      </c>
      <c r="I106" s="100">
        <v>51.247821878025171</v>
      </c>
      <c r="J106" s="100">
        <v>57.291186834462735</v>
      </c>
      <c r="K106" s="104">
        <v>1.9828620680104141</v>
      </c>
    </row>
    <row r="107" spans="1:11">
      <c r="A107" s="258"/>
      <c r="B107" s="99" t="s">
        <v>3</v>
      </c>
      <c r="C107" s="99">
        <v>1</v>
      </c>
      <c r="D107" s="100">
        <v>100.37728659999993</v>
      </c>
      <c r="E107" s="100">
        <v>16.839001274953855</v>
      </c>
      <c r="F107" s="100">
        <v>59.385944788031395</v>
      </c>
      <c r="G107" s="100">
        <v>894.28515625</v>
      </c>
      <c r="H107" s="100">
        <v>2557.11328125</v>
      </c>
      <c r="I107" s="100">
        <v>29.234413965087281</v>
      </c>
      <c r="J107" s="100">
        <v>24.811588528678303</v>
      </c>
      <c r="K107" s="104">
        <v>0.65978307224579302</v>
      </c>
    </row>
    <row r="108" spans="1:11">
      <c r="A108" s="258"/>
      <c r="B108" s="99" t="s">
        <v>3</v>
      </c>
      <c r="C108" s="99">
        <v>2</v>
      </c>
      <c r="D108" s="100">
        <v>103.77588079999987</v>
      </c>
      <c r="E108" s="100">
        <v>17.409139540345556</v>
      </c>
      <c r="F108" s="100">
        <v>57.441092805448946</v>
      </c>
      <c r="G108" s="100">
        <v>904.7265625</v>
      </c>
      <c r="H108" s="100">
        <v>2557.11328125</v>
      </c>
      <c r="I108" s="100">
        <v>29.086809470124013</v>
      </c>
      <c r="J108" s="100">
        <v>22.838583990980833</v>
      </c>
      <c r="K108" s="104">
        <v>0.64146897786180057</v>
      </c>
    </row>
    <row r="109" spans="1:11">
      <c r="A109" s="258"/>
      <c r="B109" s="99" t="s">
        <v>3</v>
      </c>
      <c r="C109" s="99">
        <v>3</v>
      </c>
      <c r="D109" s="100">
        <v>87.156874599997536</v>
      </c>
      <c r="E109" s="100">
        <v>14.621183459150735</v>
      </c>
      <c r="F109" s="100">
        <v>68.393916456478451</v>
      </c>
      <c r="G109" s="100">
        <v>905.78515625</v>
      </c>
      <c r="H109" s="100">
        <v>2557.11328125</v>
      </c>
      <c r="I109" s="100">
        <v>31.506811989100818</v>
      </c>
      <c r="J109" s="100">
        <v>27.705001362397823</v>
      </c>
      <c r="K109" s="104">
        <v>0.64931418832894638</v>
      </c>
    </row>
    <row r="110" spans="1:11">
      <c r="A110" s="258"/>
      <c r="B110" s="99" t="s">
        <v>3</v>
      </c>
      <c r="C110" s="99">
        <v>4</v>
      </c>
      <c r="D110" s="100">
        <v>157.5180388000008</v>
      </c>
      <c r="E110" s="100">
        <v>26.424767455125114</v>
      </c>
      <c r="F110" s="100">
        <v>37.843284778123902</v>
      </c>
      <c r="G110" s="100">
        <v>906.07421875</v>
      </c>
      <c r="H110" s="100">
        <v>2557.11328125</v>
      </c>
      <c r="I110" s="100">
        <v>19.910416666666666</v>
      </c>
      <c r="J110" s="100">
        <v>17.948256944444445</v>
      </c>
      <c r="K110" s="104">
        <v>0.7857004698521064</v>
      </c>
    </row>
    <row r="111" spans="1:11">
      <c r="A111" s="258"/>
      <c r="B111" s="99" t="s">
        <v>3</v>
      </c>
      <c r="C111" s="99">
        <v>5</v>
      </c>
      <c r="D111" s="100">
        <v>72.609153600002173</v>
      </c>
      <c r="E111" s="100">
        <v>12.180700150981744</v>
      </c>
      <c r="F111" s="100">
        <v>82.097086998681405</v>
      </c>
      <c r="G111" s="100">
        <v>911.60546875</v>
      </c>
      <c r="H111" s="100">
        <v>2557.11328125</v>
      </c>
      <c r="I111" s="100">
        <v>33.628899835796389</v>
      </c>
      <c r="J111" s="100">
        <v>32.869922824302137</v>
      </c>
      <c r="K111" s="104">
        <v>0.64717532313389659</v>
      </c>
    </row>
    <row r="112" spans="1:11">
      <c r="A112" s="258"/>
      <c r="B112" s="99" t="s">
        <v>4</v>
      </c>
      <c r="C112" s="99">
        <v>1</v>
      </c>
      <c r="D112" s="100">
        <v>21.085344300000088</v>
      </c>
      <c r="E112" s="100">
        <v>7.0284481000000296</v>
      </c>
      <c r="F112" s="100">
        <v>142.27891929656502</v>
      </c>
      <c r="G112" s="100">
        <v>4610.453125</v>
      </c>
      <c r="H112" s="100">
        <v>3432.81640625</v>
      </c>
      <c r="I112" s="100">
        <v>56.155080213903744</v>
      </c>
      <c r="J112" s="100">
        <v>48.634427807486624</v>
      </c>
      <c r="K112" s="104">
        <v>0.28761969338108223</v>
      </c>
    </row>
    <row r="113" spans="1:11">
      <c r="A113" s="258"/>
      <c r="B113" s="99" t="s">
        <v>4</v>
      </c>
      <c r="C113" s="99">
        <v>2</v>
      </c>
      <c r="D113" s="100">
        <v>21.455715499999997</v>
      </c>
      <c r="E113" s="100">
        <v>7.1519051666666655</v>
      </c>
      <c r="F113" s="100">
        <v>139.82288309145414</v>
      </c>
      <c r="G113" s="100">
        <v>4615.69921875</v>
      </c>
      <c r="H113" s="100">
        <v>3432.81640625</v>
      </c>
      <c r="I113" s="100">
        <v>55.968586387434556</v>
      </c>
      <c r="J113" s="100">
        <v>48.700240837696327</v>
      </c>
      <c r="K113" s="104">
        <v>0.2935405008215845</v>
      </c>
    </row>
    <row r="114" spans="1:11">
      <c r="A114" s="258"/>
      <c r="B114" s="99" t="s">
        <v>4</v>
      </c>
      <c r="C114" s="99">
        <v>3</v>
      </c>
      <c r="D114" s="100">
        <v>20.792466399999967</v>
      </c>
      <c r="E114" s="100">
        <v>6.9308221333333222</v>
      </c>
      <c r="F114" s="100">
        <v>144.28302743343642</v>
      </c>
      <c r="G114" s="100">
        <v>4616.31640625</v>
      </c>
      <c r="H114" s="100">
        <v>3432.81640625</v>
      </c>
      <c r="I114" s="100">
        <v>56.731843575418992</v>
      </c>
      <c r="J114" s="100">
        <v>49.184698324022357</v>
      </c>
      <c r="K114" s="104">
        <v>0.28579516076795974</v>
      </c>
    </row>
    <row r="115" spans="1:11">
      <c r="A115" s="258"/>
      <c r="B115" s="99" t="s">
        <v>4</v>
      </c>
      <c r="C115" s="99">
        <v>4</v>
      </c>
      <c r="D115" s="100">
        <v>20.69288070000016</v>
      </c>
      <c r="E115" s="100">
        <v>6.897626900000053</v>
      </c>
      <c r="F115" s="100">
        <v>144.97739795116959</v>
      </c>
      <c r="G115" s="100">
        <v>4614.0625</v>
      </c>
      <c r="H115" s="100">
        <v>3432.81640625</v>
      </c>
      <c r="I115" s="100">
        <v>55.786516853932582</v>
      </c>
      <c r="J115" s="100">
        <v>48.002786516853931</v>
      </c>
      <c r="K115" s="104">
        <v>0.27540256103318311</v>
      </c>
    </row>
    <row r="116" spans="1:11">
      <c r="A116" s="258"/>
      <c r="B116" s="99" t="s">
        <v>4</v>
      </c>
      <c r="C116" s="99">
        <v>5</v>
      </c>
      <c r="D116" s="100">
        <v>21.105526499999996</v>
      </c>
      <c r="E116" s="100">
        <v>7.0351754999999994</v>
      </c>
      <c r="F116" s="100">
        <v>142.14286480841881</v>
      </c>
      <c r="G116" s="100">
        <v>4612.01953125</v>
      </c>
      <c r="H116" s="100">
        <v>3433.31640625</v>
      </c>
      <c r="I116" s="100">
        <v>52.949152542372879</v>
      </c>
      <c r="J116" s="100">
        <v>50.571988700564965</v>
      </c>
      <c r="K116" s="104">
        <v>0.30215302665007071</v>
      </c>
    </row>
    <row r="117" spans="1:11">
      <c r="A117" s="258"/>
      <c r="B117" s="99" t="s">
        <v>5</v>
      </c>
      <c r="C117" s="99">
        <v>1</v>
      </c>
      <c r="D117" s="100">
        <v>17.786758400000053</v>
      </c>
      <c r="E117" s="100">
        <v>7.1865690505050717</v>
      </c>
      <c r="F117" s="100">
        <v>139.14845776507497</v>
      </c>
      <c r="G117" s="100">
        <v>5758.97265625</v>
      </c>
      <c r="H117" s="100">
        <v>3436.20703125</v>
      </c>
      <c r="I117" s="100">
        <v>47.972413793103449</v>
      </c>
      <c r="J117" s="100">
        <v>50.57119310344828</v>
      </c>
      <c r="K117" s="104">
        <v>0.25568993762998621</v>
      </c>
    </row>
    <row r="118" spans="1:11">
      <c r="A118" s="258"/>
      <c r="B118" s="99" t="s">
        <v>5</v>
      </c>
      <c r="C118" s="99">
        <v>2</v>
      </c>
      <c r="D118" s="100">
        <v>17.772478299999875</v>
      </c>
      <c r="E118" s="100">
        <v>7.1807993131312626</v>
      </c>
      <c r="F118" s="100">
        <v>139.26026287510041</v>
      </c>
      <c r="G118" s="100">
        <v>5762.49609375</v>
      </c>
      <c r="H118" s="100">
        <v>3436.20703125</v>
      </c>
      <c r="I118" s="100">
        <v>48.1</v>
      </c>
      <c r="J118" s="100">
        <v>50.179826666666671</v>
      </c>
      <c r="K118" s="104">
        <v>0.25231722809967583</v>
      </c>
    </row>
    <row r="119" spans="1:11">
      <c r="A119" s="258"/>
      <c r="B119" s="99" t="s">
        <v>5</v>
      </c>
      <c r="C119" s="99">
        <v>3</v>
      </c>
      <c r="D119" s="100">
        <v>17.80694840000001</v>
      </c>
      <c r="E119" s="100">
        <v>7.1947266262626304</v>
      </c>
      <c r="F119" s="100">
        <v>138.99068747792847</v>
      </c>
      <c r="G119" s="100">
        <v>5761.2578125</v>
      </c>
      <c r="H119" s="100">
        <v>3436.20703125</v>
      </c>
      <c r="I119" s="100">
        <v>47.721854304635762</v>
      </c>
      <c r="J119" s="100">
        <v>51.675966887417218</v>
      </c>
      <c r="K119" s="104">
        <v>0.25983249347968146</v>
      </c>
    </row>
    <row r="120" spans="1:11">
      <c r="A120" s="258"/>
      <c r="B120" s="99" t="s">
        <v>5</v>
      </c>
      <c r="C120" s="99">
        <v>4</v>
      </c>
      <c r="D120" s="100">
        <v>17.656453499999998</v>
      </c>
      <c r="E120" s="100">
        <v>7.133920606060606</v>
      </c>
      <c r="F120" s="100">
        <v>140.17537553620269</v>
      </c>
      <c r="G120" s="100">
        <v>5763.75</v>
      </c>
      <c r="H120" s="100">
        <v>3436.20703125</v>
      </c>
      <c r="I120" s="100">
        <v>48.093959731543627</v>
      </c>
      <c r="J120" s="100">
        <v>50.098046979865771</v>
      </c>
      <c r="K120" s="104">
        <v>0.25104993236224687</v>
      </c>
    </row>
    <row r="121" spans="1:11" ht="14.5" thickBot="1">
      <c r="A121" s="259"/>
      <c r="B121" s="105" t="s">
        <v>5</v>
      </c>
      <c r="C121" s="105">
        <v>5</v>
      </c>
      <c r="D121" s="106">
        <v>18.512932000000092</v>
      </c>
      <c r="E121" s="106">
        <v>7.4799725252525624</v>
      </c>
      <c r="F121" s="106">
        <v>133.69033062942097</v>
      </c>
      <c r="G121" s="106">
        <v>5763.640625</v>
      </c>
      <c r="H121" s="106">
        <v>3436.20703125</v>
      </c>
      <c r="I121" s="106">
        <v>43.794871794871796</v>
      </c>
      <c r="J121" s="106">
        <v>53.008301282051271</v>
      </c>
      <c r="K121" s="107">
        <v>0.27449905269580421</v>
      </c>
    </row>
    <row r="122" spans="1:11">
      <c r="A122" s="239" t="s">
        <v>77</v>
      </c>
      <c r="B122" s="128" t="s">
        <v>2</v>
      </c>
      <c r="C122" s="128">
        <v>1</v>
      </c>
      <c r="D122" s="129">
        <v>125.90523750000011</v>
      </c>
      <c r="E122" s="129">
        <v>6.9947354166666731</v>
      </c>
      <c r="F122" s="129">
        <v>142.96466419834189</v>
      </c>
      <c r="G122" s="129">
        <v>5160.12890625</v>
      </c>
      <c r="H122" s="129">
        <v>6454.98046875</v>
      </c>
      <c r="I122" s="129">
        <v>35.950391644908613</v>
      </c>
      <c r="J122" s="129">
        <v>16.27934725848564</v>
      </c>
      <c r="K122" s="130">
        <v>0.57019870844176235</v>
      </c>
    </row>
    <row r="123" spans="1:11">
      <c r="A123" s="258"/>
      <c r="B123" s="126" t="s">
        <v>2</v>
      </c>
      <c r="C123" s="126">
        <v>2</v>
      </c>
      <c r="D123" s="127">
        <v>121.85834590000013</v>
      </c>
      <c r="E123" s="127">
        <v>6.7699081055555634</v>
      </c>
      <c r="F123" s="127">
        <v>147.71249246047728</v>
      </c>
      <c r="G123" s="127">
        <v>5161.78125</v>
      </c>
      <c r="H123" s="127">
        <v>6454.98046875</v>
      </c>
      <c r="I123" s="127">
        <v>35.602529358626917</v>
      </c>
      <c r="J123" s="127">
        <v>15.946630532971994</v>
      </c>
      <c r="K123" s="131">
        <v>0.54047310831270889</v>
      </c>
    </row>
    <row r="124" spans="1:11">
      <c r="A124" s="258"/>
      <c r="B124" s="126" t="s">
        <v>2</v>
      </c>
      <c r="C124" s="126">
        <v>3</v>
      </c>
      <c r="D124" s="127">
        <v>118.14596720000009</v>
      </c>
      <c r="E124" s="127">
        <v>6.5636648444444496</v>
      </c>
      <c r="F124" s="127">
        <v>152.35390954588576</v>
      </c>
      <c r="G124" s="127">
        <v>5160.06640625</v>
      </c>
      <c r="H124" s="127">
        <v>6454.98046875</v>
      </c>
      <c r="I124" s="127">
        <v>37.310408921933089</v>
      </c>
      <c r="J124" s="127">
        <v>16.324502788104091</v>
      </c>
      <c r="K124" s="131">
        <v>0.53655375145847728</v>
      </c>
    </row>
    <row r="125" spans="1:11">
      <c r="A125" s="258"/>
      <c r="B125" s="126" t="s">
        <v>2</v>
      </c>
      <c r="C125" s="126">
        <v>4</v>
      </c>
      <c r="D125" s="127">
        <v>122.58409860000029</v>
      </c>
      <c r="E125" s="127">
        <v>6.8102277000000155</v>
      </c>
      <c r="F125" s="127">
        <v>146.83796842798628</v>
      </c>
      <c r="G125" s="127">
        <v>5135.09375</v>
      </c>
      <c r="H125" s="127">
        <v>6454.98046875</v>
      </c>
      <c r="I125" s="127">
        <v>35.724663677130046</v>
      </c>
      <c r="J125" s="127">
        <v>16.173649327354259</v>
      </c>
      <c r="K125" s="131">
        <v>0.55150192165609091</v>
      </c>
    </row>
    <row r="126" spans="1:11">
      <c r="A126" s="258"/>
      <c r="B126" s="126" t="s">
        <v>2</v>
      </c>
      <c r="C126" s="126">
        <v>5</v>
      </c>
      <c r="D126" s="127">
        <v>131.06175669999993</v>
      </c>
      <c r="E126" s="127">
        <v>7.2812087055555512</v>
      </c>
      <c r="F126" s="127">
        <v>137.3398346948909</v>
      </c>
      <c r="G126" s="127">
        <v>5135.7890625</v>
      </c>
      <c r="H126" s="127">
        <v>6454.98046875</v>
      </c>
      <c r="I126" s="127">
        <v>30.785054575986567</v>
      </c>
      <c r="J126" s="127">
        <v>14.067667506297227</v>
      </c>
      <c r="K126" s="131">
        <v>0.51245137592112233</v>
      </c>
    </row>
    <row r="127" spans="1:11">
      <c r="A127" s="258"/>
      <c r="B127" s="126" t="s">
        <v>3</v>
      </c>
      <c r="C127" s="126">
        <v>1</v>
      </c>
      <c r="D127" s="127">
        <v>41.360826699999961</v>
      </c>
      <c r="E127" s="127">
        <v>6.9385718335849624</v>
      </c>
      <c r="F127" s="127">
        <v>144.12187752523829</v>
      </c>
      <c r="G127" s="127">
        <v>7498.5625</v>
      </c>
      <c r="H127" s="127">
        <v>3412.171875</v>
      </c>
      <c r="I127" s="127">
        <v>34.456464379947228</v>
      </c>
      <c r="J127" s="127">
        <v>16.059696569920845</v>
      </c>
      <c r="K127" s="131">
        <v>0.18526153060809802</v>
      </c>
    </row>
    <row r="128" spans="1:11">
      <c r="A128" s="258"/>
      <c r="B128" s="126" t="s">
        <v>3</v>
      </c>
      <c r="C128" s="126">
        <v>2</v>
      </c>
      <c r="D128" s="127">
        <v>39.959801799999923</v>
      </c>
      <c r="E128" s="127">
        <v>6.7035399765139951</v>
      </c>
      <c r="F128" s="127">
        <v>149.17491407577532</v>
      </c>
      <c r="G128" s="127">
        <v>7499.74609375</v>
      </c>
      <c r="H128" s="127">
        <v>3412.171875</v>
      </c>
      <c r="I128" s="127">
        <v>36.439890710382514</v>
      </c>
      <c r="J128" s="127">
        <v>16.527150273224041</v>
      </c>
      <c r="K128" s="131">
        <v>0.18401506127545852</v>
      </c>
    </row>
    <row r="129" spans="1:11">
      <c r="A129" s="258"/>
      <c r="B129" s="126" t="s">
        <v>3</v>
      </c>
      <c r="C129" s="126">
        <v>3</v>
      </c>
      <c r="D129" s="127">
        <v>43.605422699999963</v>
      </c>
      <c r="E129" s="127">
        <v>7.3151187216909852</v>
      </c>
      <c r="F129" s="127">
        <v>136.70318118484849</v>
      </c>
      <c r="G129" s="127">
        <v>7500.06640625</v>
      </c>
      <c r="H129" s="127">
        <v>3412.171875</v>
      </c>
      <c r="I129" s="127">
        <v>31.160401002506266</v>
      </c>
      <c r="J129" s="127">
        <v>14.097260651629073</v>
      </c>
      <c r="K129" s="131">
        <v>0.17120984085501195</v>
      </c>
    </row>
    <row r="130" spans="1:11">
      <c r="A130" s="258"/>
      <c r="B130" s="126" t="s">
        <v>3</v>
      </c>
      <c r="C130" s="126">
        <v>4</v>
      </c>
      <c r="D130" s="127">
        <v>41.416168499999912</v>
      </c>
      <c r="E130" s="127">
        <v>6.9478558127830752</v>
      </c>
      <c r="F130" s="127">
        <v>143.92929659825998</v>
      </c>
      <c r="G130" s="127">
        <v>7501.0078125</v>
      </c>
      <c r="H130" s="127">
        <v>3412.171875</v>
      </c>
      <c r="I130" s="127">
        <v>34.515789473684208</v>
      </c>
      <c r="J130" s="127">
        <v>15.49985</v>
      </c>
      <c r="K130" s="131">
        <v>0.17899493382727688</v>
      </c>
    </row>
    <row r="131" spans="1:11">
      <c r="A131" s="258"/>
      <c r="B131" s="126" t="s">
        <v>3</v>
      </c>
      <c r="C131" s="126">
        <v>5</v>
      </c>
      <c r="D131" s="127">
        <v>40.489574599999969</v>
      </c>
      <c r="E131" s="127">
        <v>6.7924131186042551</v>
      </c>
      <c r="F131" s="127">
        <v>147.22308295133345</v>
      </c>
      <c r="G131" s="127">
        <v>7501.03125</v>
      </c>
      <c r="H131" s="127">
        <v>3412.171875</v>
      </c>
      <c r="I131" s="127">
        <v>35.765498652291107</v>
      </c>
      <c r="J131" s="127">
        <v>16.146487870619946</v>
      </c>
      <c r="K131" s="131">
        <v>0.18239931219034655</v>
      </c>
    </row>
    <row r="132" spans="1:11">
      <c r="A132" s="258"/>
      <c r="B132" s="126" t="s">
        <v>4</v>
      </c>
      <c r="C132" s="126">
        <v>1</v>
      </c>
      <c r="D132" s="127">
        <v>20.542307600000186</v>
      </c>
      <c r="E132" s="127">
        <v>6.8474358666667285</v>
      </c>
      <c r="F132" s="127">
        <v>146.04006805934367</v>
      </c>
      <c r="G132" s="127">
        <v>6798.4609375</v>
      </c>
      <c r="H132" s="127">
        <v>3412.796875</v>
      </c>
      <c r="I132" s="127">
        <v>35.463157894736845</v>
      </c>
      <c r="J132" s="127">
        <v>15.878505263157896</v>
      </c>
      <c r="K132" s="131">
        <v>9.1290853727460208E-2</v>
      </c>
    </row>
    <row r="133" spans="1:11">
      <c r="A133" s="258"/>
      <c r="B133" s="126" t="s">
        <v>4</v>
      </c>
      <c r="C133" s="126">
        <v>2</v>
      </c>
      <c r="D133" s="127">
        <v>20.007258799999818</v>
      </c>
      <c r="E133" s="127">
        <v>6.6690862666666053</v>
      </c>
      <c r="F133" s="127">
        <v>149.94557875164924</v>
      </c>
      <c r="G133" s="127">
        <v>6795.58984375</v>
      </c>
      <c r="H133" s="127">
        <v>3412.796875</v>
      </c>
      <c r="I133" s="127">
        <v>36.470270270270269</v>
      </c>
      <c r="J133" s="127">
        <v>15.665551351351349</v>
      </c>
      <c r="K133" s="131">
        <v>8.7680825523081221E-2</v>
      </c>
    </row>
    <row r="134" spans="1:11">
      <c r="A134" s="258"/>
      <c r="B134" s="126" t="s">
        <v>4</v>
      </c>
      <c r="C134" s="126">
        <v>3</v>
      </c>
      <c r="D134" s="127">
        <v>20.020273000000088</v>
      </c>
      <c r="E134" s="127">
        <v>6.6734243333333625</v>
      </c>
      <c r="F134" s="127">
        <v>149.84810646687919</v>
      </c>
      <c r="G134" s="127">
        <v>6798.515625</v>
      </c>
      <c r="H134" s="127">
        <v>3412.796875</v>
      </c>
      <c r="I134" s="127">
        <v>35.277173913043477</v>
      </c>
      <c r="J134" s="127">
        <v>16.075195652173914</v>
      </c>
      <c r="K134" s="131">
        <v>9.0196228241028034E-2</v>
      </c>
    </row>
    <row r="135" spans="1:11">
      <c r="A135" s="258"/>
      <c r="B135" s="126" t="s">
        <v>4</v>
      </c>
      <c r="C135" s="126">
        <v>4</v>
      </c>
      <c r="D135" s="127">
        <v>21.1878185999999</v>
      </c>
      <c r="E135" s="127">
        <v>7.0626061999999674</v>
      </c>
      <c r="F135" s="127">
        <v>141.59079122944794</v>
      </c>
      <c r="G135" s="127">
        <v>6799.671875</v>
      </c>
      <c r="H135" s="127">
        <v>3412.796875</v>
      </c>
      <c r="I135" s="127">
        <v>30.680412371134022</v>
      </c>
      <c r="J135" s="127">
        <v>14.944371134020619</v>
      </c>
      <c r="K135" s="131">
        <v>8.8638198174110547E-2</v>
      </c>
    </row>
    <row r="136" spans="1:11">
      <c r="A136" s="258"/>
      <c r="B136" s="126" t="s">
        <v>4</v>
      </c>
      <c r="C136" s="126">
        <v>5</v>
      </c>
      <c r="D136" s="127">
        <v>21.605614900000091</v>
      </c>
      <c r="E136" s="127">
        <v>7.2018716333333632</v>
      </c>
      <c r="F136" s="127">
        <v>138.85279423359469</v>
      </c>
      <c r="G136" s="127">
        <v>6799.68359375</v>
      </c>
      <c r="H136" s="127">
        <v>3412.796875</v>
      </c>
      <c r="I136" s="127">
        <v>30.777777777777779</v>
      </c>
      <c r="J136" s="127">
        <v>14.346782828282828</v>
      </c>
      <c r="K136" s="131">
        <v>8.6587255340388275E-2</v>
      </c>
    </row>
    <row r="137" spans="1:11">
      <c r="A137" s="258"/>
      <c r="B137" s="126" t="s">
        <v>5</v>
      </c>
      <c r="C137" s="126">
        <v>1</v>
      </c>
      <c r="D137" s="127">
        <v>18.08668160000002</v>
      </c>
      <c r="E137" s="127">
        <v>7.3077501414141492</v>
      </c>
      <c r="F137" s="127">
        <v>136.84102229123098</v>
      </c>
      <c r="G137" s="127">
        <v>5780.2421875</v>
      </c>
      <c r="H137" s="127">
        <v>3570.22265625</v>
      </c>
      <c r="I137" s="127">
        <v>33.795180722891565</v>
      </c>
      <c r="J137" s="127">
        <v>16.013891566265059</v>
      </c>
      <c r="K137" s="131">
        <v>8.1058075678000108E-2</v>
      </c>
    </row>
    <row r="138" spans="1:11">
      <c r="A138" s="258"/>
      <c r="B138" s="126" t="s">
        <v>5</v>
      </c>
      <c r="C138" s="126">
        <v>2</v>
      </c>
      <c r="D138" s="127">
        <v>17.86640680000005</v>
      </c>
      <c r="E138" s="127">
        <v>7.2187502222222424</v>
      </c>
      <c r="F138" s="127">
        <v>138.5281342636838</v>
      </c>
      <c r="G138" s="127">
        <v>5781.9765625</v>
      </c>
      <c r="H138" s="127">
        <v>3570.22265625</v>
      </c>
      <c r="I138" s="127">
        <v>34.283132530120483</v>
      </c>
      <c r="J138" s="127">
        <v>16.163975903614457</v>
      </c>
      <c r="K138" s="131">
        <v>8.0863909675583504E-2</v>
      </c>
    </row>
    <row r="139" spans="1:11">
      <c r="A139" s="258"/>
      <c r="B139" s="126" t="s">
        <v>5</v>
      </c>
      <c r="C139" s="126">
        <v>3</v>
      </c>
      <c r="D139" s="127">
        <v>19.492140800000016</v>
      </c>
      <c r="E139" s="127">
        <v>7.8756124444444504</v>
      </c>
      <c r="F139" s="127">
        <v>126.9742521047251</v>
      </c>
      <c r="G139" s="127">
        <v>5783.61328125</v>
      </c>
      <c r="H139" s="127">
        <v>3570.22265625</v>
      </c>
      <c r="I139" s="127">
        <v>32.303867403314918</v>
      </c>
      <c r="J139" s="127">
        <v>15.737817679558011</v>
      </c>
      <c r="K139" s="131">
        <v>8.5845009242652537E-2</v>
      </c>
    </row>
    <row r="140" spans="1:11">
      <c r="A140" s="258"/>
      <c r="B140" s="126" t="s">
        <v>5</v>
      </c>
      <c r="C140" s="126">
        <v>4</v>
      </c>
      <c r="D140" s="127">
        <v>18.435141600000065</v>
      </c>
      <c r="E140" s="127">
        <v>7.448542060606087</v>
      </c>
      <c r="F140" s="127">
        <v>134.2544610560513</v>
      </c>
      <c r="G140" s="127">
        <v>5783.72265625</v>
      </c>
      <c r="H140" s="127">
        <v>3570.22265625</v>
      </c>
      <c r="I140" s="127">
        <v>33.692307692307693</v>
      </c>
      <c r="J140" s="127">
        <v>15.61956804733728</v>
      </c>
      <c r="K140" s="131">
        <v>8.0753979289583375E-2</v>
      </c>
    </row>
    <row r="141" spans="1:11" ht="14.5" thickBot="1">
      <c r="A141" s="259"/>
      <c r="B141" s="132" t="s">
        <v>5</v>
      </c>
      <c r="C141" s="132">
        <v>5</v>
      </c>
      <c r="D141" s="133">
        <v>19.213276500000006</v>
      </c>
      <c r="E141" s="133">
        <v>7.7629400000000031</v>
      </c>
      <c r="F141" s="133">
        <v>128.81717493629986</v>
      </c>
      <c r="G141" s="133">
        <v>5785.51953125</v>
      </c>
      <c r="H141" s="133">
        <v>3570.22265625</v>
      </c>
      <c r="I141" s="133">
        <v>32.141242937853107</v>
      </c>
      <c r="J141" s="133">
        <v>15.477446327683614</v>
      </c>
      <c r="K141" s="134">
        <v>8.3209434420791317E-2</v>
      </c>
    </row>
    <row r="142" spans="1:11">
      <c r="A142" s="239" t="s">
        <v>79</v>
      </c>
      <c r="B142" s="141" t="s">
        <v>2</v>
      </c>
      <c r="C142" s="141">
        <v>1</v>
      </c>
      <c r="D142" s="142">
        <v>28.973517099999299</v>
      </c>
      <c r="E142" s="142">
        <v>1.6096398388888498</v>
      </c>
      <c r="F142" s="142">
        <v>621.25698919722925</v>
      </c>
      <c r="G142" s="142">
        <v>2286.29296875</v>
      </c>
      <c r="H142" s="142">
        <v>2723.4296875</v>
      </c>
      <c r="I142" s="142">
        <v>69.988764044943821</v>
      </c>
      <c r="J142" s="142">
        <v>52.260591760299626</v>
      </c>
      <c r="K142" s="143">
        <v>0.42268496585728094</v>
      </c>
    </row>
    <row r="143" spans="1:11">
      <c r="A143" s="258"/>
      <c r="B143" s="139" t="s">
        <v>2</v>
      </c>
      <c r="C143" s="139">
        <v>2</v>
      </c>
      <c r="D143" s="140">
        <v>24.669857000000775</v>
      </c>
      <c r="E143" s="140">
        <v>1.3705476111111543</v>
      </c>
      <c r="F143" s="140">
        <v>729.63536026979943</v>
      </c>
      <c r="G143" s="140">
        <v>2291.79296875</v>
      </c>
      <c r="H143" s="140">
        <v>2723.4296875</v>
      </c>
      <c r="I143" s="140">
        <v>86.977777777777774</v>
      </c>
      <c r="J143" s="140">
        <v>53.614942222222226</v>
      </c>
      <c r="K143" s="144">
        <v>0.370140978933234</v>
      </c>
    </row>
    <row r="144" spans="1:11">
      <c r="A144" s="258"/>
      <c r="B144" s="139" t="s">
        <v>2</v>
      </c>
      <c r="C144" s="139">
        <v>3</v>
      </c>
      <c r="D144" s="140">
        <v>23.939050999999381</v>
      </c>
      <c r="E144" s="140">
        <v>1.3299472777777435</v>
      </c>
      <c r="F144" s="140">
        <v>751.90950551884725</v>
      </c>
      <c r="G144" s="140">
        <v>2292.15234375</v>
      </c>
      <c r="H144" s="140">
        <v>2723.4296875</v>
      </c>
      <c r="I144" s="140">
        <v>91.9</v>
      </c>
      <c r="J144" s="140">
        <v>53.39406363636364</v>
      </c>
      <c r="K144" s="144">
        <v>0.3575742008417318</v>
      </c>
    </row>
    <row r="145" spans="1:11">
      <c r="A145" s="258"/>
      <c r="B145" s="139" t="s">
        <v>2</v>
      </c>
      <c r="C145" s="139">
        <v>4</v>
      </c>
      <c r="D145" s="140">
        <v>51.610222499999509</v>
      </c>
      <c r="E145" s="140">
        <v>2.8672345833333059</v>
      </c>
      <c r="F145" s="140">
        <v>348.76811468891015</v>
      </c>
      <c r="G145" s="140">
        <v>2292.47265625</v>
      </c>
      <c r="H145" s="140">
        <v>2723.4296875</v>
      </c>
      <c r="I145" s="140">
        <v>43.368869936034116</v>
      </c>
      <c r="J145" s="140">
        <v>38.396496801705759</v>
      </c>
      <c r="K145" s="144">
        <v>0.55237853625080846</v>
      </c>
    </row>
    <row r="146" spans="1:11">
      <c r="A146" s="258"/>
      <c r="B146" s="139" t="s">
        <v>2</v>
      </c>
      <c r="C146" s="139">
        <v>5</v>
      </c>
      <c r="D146" s="140">
        <v>37.621313100000407</v>
      </c>
      <c r="E146" s="140">
        <v>2.0900729500000228</v>
      </c>
      <c r="F146" s="140">
        <v>478.45219947944361</v>
      </c>
      <c r="G146" s="140">
        <v>2292.79296875</v>
      </c>
      <c r="H146" s="140">
        <v>2723.4296875</v>
      </c>
      <c r="I146" s="140">
        <v>50.902654867256636</v>
      </c>
      <c r="J146" s="140">
        <v>54.460477876106189</v>
      </c>
      <c r="K146" s="144">
        <v>0.5740420784544259</v>
      </c>
    </row>
    <row r="147" spans="1:11">
      <c r="A147" s="258"/>
      <c r="B147" s="139" t="s">
        <v>3</v>
      </c>
      <c r="C147" s="139">
        <v>1</v>
      </c>
      <c r="D147" s="140">
        <v>10.277845400000047</v>
      </c>
      <c r="E147" s="140">
        <v>1.7241814125146864</v>
      </c>
      <c r="F147" s="140">
        <v>579.98537319893649</v>
      </c>
      <c r="G147" s="140">
        <v>7528.51953125</v>
      </c>
      <c r="H147" s="140">
        <v>2615.2578125</v>
      </c>
      <c r="I147" s="140">
        <v>62.684210526315788</v>
      </c>
      <c r="J147" s="140">
        <v>52.226378947368417</v>
      </c>
      <c r="K147" s="144">
        <v>0.15127917503001381</v>
      </c>
    </row>
    <row r="148" spans="1:11">
      <c r="A148" s="258"/>
      <c r="B148" s="139" t="s">
        <v>3</v>
      </c>
      <c r="C148" s="139">
        <v>2</v>
      </c>
      <c r="D148" s="140">
        <v>9.4077020999999377</v>
      </c>
      <c r="E148" s="140">
        <v>1.578208706592843</v>
      </c>
      <c r="F148" s="140">
        <v>633.62975747287317</v>
      </c>
      <c r="G148" s="140">
        <v>7528.8046875</v>
      </c>
      <c r="H148" s="140">
        <v>2615.2578125</v>
      </c>
      <c r="I148" s="140">
        <v>68.379310344827587</v>
      </c>
      <c r="J148" s="140">
        <v>55.708793103448286</v>
      </c>
      <c r="K148" s="144">
        <v>0.14789939304191529</v>
      </c>
    </row>
    <row r="149" spans="1:11">
      <c r="A149" s="258"/>
      <c r="B149" s="139" t="s">
        <v>3</v>
      </c>
      <c r="C149" s="139">
        <v>3</v>
      </c>
      <c r="D149" s="140">
        <v>9.3922468999999182</v>
      </c>
      <c r="E149" s="140">
        <v>1.5756159872504476</v>
      </c>
      <c r="F149" s="140">
        <v>634.67241262578523</v>
      </c>
      <c r="G149" s="140">
        <v>7528.84765625</v>
      </c>
      <c r="H149" s="140">
        <v>2615.2578125</v>
      </c>
      <c r="I149" s="140">
        <v>68.321839080459768</v>
      </c>
      <c r="J149" s="140">
        <v>54.7262988505747</v>
      </c>
      <c r="K149" s="144">
        <v>0.14475657596045874</v>
      </c>
    </row>
    <row r="150" spans="1:11">
      <c r="A150" s="258"/>
      <c r="B150" s="139" t="s">
        <v>3</v>
      </c>
      <c r="C150" s="139">
        <v>4</v>
      </c>
      <c r="D150" s="140">
        <v>9.5608216999999058</v>
      </c>
      <c r="E150" s="140">
        <v>1.6038956047642854</v>
      </c>
      <c r="F150" s="140">
        <v>623.48197540385661</v>
      </c>
      <c r="G150" s="140">
        <v>7529.16015625</v>
      </c>
      <c r="H150" s="140">
        <v>2615.2578125</v>
      </c>
      <c r="I150" s="140">
        <v>67.966292134831463</v>
      </c>
      <c r="J150" s="140">
        <v>54.337191011235959</v>
      </c>
      <c r="K150" s="144">
        <v>0.14752747498595897</v>
      </c>
    </row>
    <row r="151" spans="1:11">
      <c r="A151" s="258"/>
      <c r="B151" s="139" t="s">
        <v>3</v>
      </c>
      <c r="C151" s="139">
        <v>5</v>
      </c>
      <c r="D151" s="140">
        <v>10.309237799999892</v>
      </c>
      <c r="E151" s="140">
        <v>1.7294477101157344</v>
      </c>
      <c r="F151" s="140">
        <v>578.21927436769988</v>
      </c>
      <c r="G151" s="140">
        <v>7528.609375</v>
      </c>
      <c r="H151" s="140">
        <v>2615.2578125</v>
      </c>
      <c r="I151" s="140">
        <v>59.852631578947367</v>
      </c>
      <c r="J151" s="140">
        <v>57.234157894736832</v>
      </c>
      <c r="K151" s="144">
        <v>0.16639098038548597</v>
      </c>
    </row>
    <row r="152" spans="1:11">
      <c r="A152" s="258"/>
      <c r="B152" s="139" t="s">
        <v>4</v>
      </c>
      <c r="C152" s="139">
        <v>1</v>
      </c>
      <c r="D152" s="140">
        <v>5.1449877000000015</v>
      </c>
      <c r="E152" s="140">
        <v>1.7149959000000006</v>
      </c>
      <c r="F152" s="140">
        <v>583.09177298907809</v>
      </c>
      <c r="G152" s="140">
        <v>6884.16015625</v>
      </c>
      <c r="H152" s="140">
        <v>2627.2578125</v>
      </c>
      <c r="I152" s="140">
        <v>62.510204081632651</v>
      </c>
      <c r="J152" s="140">
        <v>51.326775510204072</v>
      </c>
      <c r="K152" s="144">
        <v>7.6246329206541619E-2</v>
      </c>
    </row>
    <row r="153" spans="1:11">
      <c r="A153" s="258"/>
      <c r="B153" s="139" t="s">
        <v>4</v>
      </c>
      <c r="C153" s="139">
        <v>2</v>
      </c>
      <c r="D153" s="140">
        <v>5.384603200000015</v>
      </c>
      <c r="E153" s="140">
        <v>1.7948677333333385</v>
      </c>
      <c r="F153" s="140">
        <v>557.14411788040229</v>
      </c>
      <c r="G153" s="140">
        <v>6884.921875</v>
      </c>
      <c r="H153" s="140">
        <v>2627.2578125</v>
      </c>
      <c r="I153" s="140">
        <v>60.313725490196077</v>
      </c>
      <c r="J153" s="140">
        <v>47.668196078431365</v>
      </c>
      <c r="K153" s="144">
        <v>7.3280864665194081E-2</v>
      </c>
    </row>
    <row r="154" spans="1:11">
      <c r="A154" s="258"/>
      <c r="B154" s="139" t="s">
        <v>4</v>
      </c>
      <c r="C154" s="139">
        <v>3</v>
      </c>
      <c r="D154" s="140">
        <v>4.4607699999999681</v>
      </c>
      <c r="E154" s="140">
        <v>1.4869233333333227</v>
      </c>
      <c r="F154" s="140">
        <v>672.52963053464339</v>
      </c>
      <c r="G154" s="140">
        <v>6884.9296875</v>
      </c>
      <c r="H154" s="140">
        <v>2627.2578125</v>
      </c>
      <c r="I154" s="140">
        <v>73.302325581395351</v>
      </c>
      <c r="J154" s="140">
        <v>46.556209302325584</v>
      </c>
      <c r="K154" s="144">
        <v>5.9547370810111439E-2</v>
      </c>
    </row>
    <row r="155" spans="1:11">
      <c r="A155" s="258"/>
      <c r="B155" s="139" t="s">
        <v>4</v>
      </c>
      <c r="C155" s="139">
        <v>4</v>
      </c>
      <c r="D155" s="140">
        <v>4.5154582999999775</v>
      </c>
      <c r="E155" s="140">
        <v>1.5051527666666593</v>
      </c>
      <c r="F155" s="140">
        <v>664.38438818048985</v>
      </c>
      <c r="G155" s="140">
        <v>6882.93359375</v>
      </c>
      <c r="H155" s="140">
        <v>2627.2578125</v>
      </c>
      <c r="I155" s="140">
        <v>73.795454545454547</v>
      </c>
      <c r="J155" s="140">
        <v>45.370795454545458</v>
      </c>
      <c r="K155" s="144">
        <v>5.8623130189263649E-2</v>
      </c>
    </row>
    <row r="156" spans="1:11">
      <c r="A156" s="258"/>
      <c r="B156" s="139" t="s">
        <v>4</v>
      </c>
      <c r="C156" s="139">
        <v>5</v>
      </c>
      <c r="D156" s="140">
        <v>4.557681099999968</v>
      </c>
      <c r="E156" s="140">
        <v>1.5192270333333227</v>
      </c>
      <c r="F156" s="140">
        <v>658.22946673474394</v>
      </c>
      <c r="G156" s="140">
        <v>6883.53125</v>
      </c>
      <c r="H156" s="140">
        <v>2627.2578125</v>
      </c>
      <c r="I156" s="140">
        <v>70.295454545454547</v>
      </c>
      <c r="J156" s="140">
        <v>53.574227272727278</v>
      </c>
      <c r="K156" s="144">
        <v>6.9272747944569099E-2</v>
      </c>
    </row>
    <row r="157" spans="1:11">
      <c r="A157" s="258"/>
      <c r="B157" s="139" t="s">
        <v>5</v>
      </c>
      <c r="C157" s="139">
        <v>1</v>
      </c>
      <c r="D157" s="140">
        <v>4.2929009000000065</v>
      </c>
      <c r="E157" s="140">
        <v>1.7345054141414169</v>
      </c>
      <c r="F157" s="140">
        <v>576.53322488762694</v>
      </c>
      <c r="G157" s="140">
        <v>5804.10546875</v>
      </c>
      <c r="H157" s="140">
        <v>2615.2578125</v>
      </c>
      <c r="I157" s="140">
        <v>60.452380952380949</v>
      </c>
      <c r="J157" s="140">
        <v>46.577666666666673</v>
      </c>
      <c r="K157" s="144">
        <v>5.7367696054903293E-2</v>
      </c>
    </row>
    <row r="158" spans="1:11">
      <c r="A158" s="258"/>
      <c r="B158" s="139" t="s">
        <v>5</v>
      </c>
      <c r="C158" s="139">
        <v>2</v>
      </c>
      <c r="D158" s="140">
        <v>3.7277139999999918</v>
      </c>
      <c r="E158" s="140">
        <v>1.5061470707070674</v>
      </c>
      <c r="F158" s="140">
        <v>663.94578554041573</v>
      </c>
      <c r="G158" s="140">
        <v>5809.0859375</v>
      </c>
      <c r="H158" s="140">
        <v>2615.2578125</v>
      </c>
      <c r="I158" s="140">
        <v>67.722222222222229</v>
      </c>
      <c r="J158" s="140">
        <v>45.386083333333346</v>
      </c>
      <c r="K158" s="144">
        <v>4.8557146403888904E-2</v>
      </c>
    </row>
    <row r="159" spans="1:11">
      <c r="A159" s="258"/>
      <c r="B159" s="139" t="s">
        <v>5</v>
      </c>
      <c r="C159" s="139">
        <v>3</v>
      </c>
      <c r="D159" s="140">
        <v>4.0637055999999916</v>
      </c>
      <c r="E159" s="140">
        <v>1.641901252525249</v>
      </c>
      <c r="F159" s="140">
        <v>609.0500256711523</v>
      </c>
      <c r="G159" s="140">
        <v>5806.2265625</v>
      </c>
      <c r="H159" s="140">
        <v>2615.2578125</v>
      </c>
      <c r="I159" s="140">
        <v>63.473684210526315</v>
      </c>
      <c r="J159" s="140">
        <v>47.917289473684207</v>
      </c>
      <c r="K159" s="144">
        <v>5.6331920198610476E-2</v>
      </c>
    </row>
    <row r="160" spans="1:11">
      <c r="A160" s="258"/>
      <c r="B160" s="139" t="s">
        <v>5</v>
      </c>
      <c r="C160" s="139">
        <v>4</v>
      </c>
      <c r="D160" s="140">
        <v>3.9896777000000156</v>
      </c>
      <c r="E160" s="140">
        <v>1.6119909898989964</v>
      </c>
      <c r="F160" s="140">
        <v>620.35086192551103</v>
      </c>
      <c r="G160" s="140">
        <v>5808.69140625</v>
      </c>
      <c r="H160" s="140">
        <v>2615.2578125</v>
      </c>
      <c r="I160" s="140">
        <v>66.051282051282058</v>
      </c>
      <c r="J160" s="140">
        <v>47.830410256410261</v>
      </c>
      <c r="K160" s="144">
        <v>5.5201679411430414E-2</v>
      </c>
    </row>
    <row r="161" spans="1:11" ht="14.5" thickBot="1">
      <c r="A161" s="259"/>
      <c r="B161" s="145" t="s">
        <v>5</v>
      </c>
      <c r="C161" s="145">
        <v>5</v>
      </c>
      <c r="D161" s="146">
        <v>3.9608628999999951</v>
      </c>
      <c r="E161" s="146">
        <v>1.6003486464646446</v>
      </c>
      <c r="F161" s="146">
        <v>624.86383964463982</v>
      </c>
      <c r="G161" s="146">
        <v>5809.0625</v>
      </c>
      <c r="H161" s="146">
        <v>2615.2578125</v>
      </c>
      <c r="I161" s="146">
        <v>62.736842105263158</v>
      </c>
      <c r="J161" s="146">
        <v>46.338657894736833</v>
      </c>
      <c r="K161" s="147">
        <v>5.3001543157166868E-2</v>
      </c>
    </row>
    <row r="162" spans="1:11">
      <c r="A162" s="239" t="s">
        <v>80</v>
      </c>
      <c r="B162" s="198" t="s">
        <v>2</v>
      </c>
      <c r="C162" s="198">
        <v>1</v>
      </c>
      <c r="D162" s="199">
        <v>222.89718170000015</v>
      </c>
      <c r="E162" s="199">
        <v>12.38317676111112</v>
      </c>
      <c r="F162" s="199">
        <v>80.754722256768616</v>
      </c>
      <c r="G162" s="199">
        <v>5335.7890625</v>
      </c>
      <c r="H162" s="199">
        <v>2959.33203125</v>
      </c>
      <c r="I162" s="199">
        <v>39.888777050830399</v>
      </c>
      <c r="J162" s="199">
        <v>36.231356316054352</v>
      </c>
      <c r="K162" s="200">
        <v>2.24705815450938</v>
      </c>
    </row>
    <row r="163" spans="1:11">
      <c r="A163" s="258"/>
      <c r="B163" s="180" t="s">
        <v>2</v>
      </c>
      <c r="C163" s="180">
        <v>2</v>
      </c>
      <c r="D163" s="181">
        <v>232.01845859999958</v>
      </c>
      <c r="E163" s="181">
        <v>12.889914366666645</v>
      </c>
      <c r="F163" s="181">
        <v>77.580034401625113</v>
      </c>
      <c r="G163" s="181">
        <v>5332</v>
      </c>
      <c r="H163" s="181">
        <v>2947.33203125</v>
      </c>
      <c r="I163" s="181">
        <v>38.046421663442942</v>
      </c>
      <c r="J163" s="181">
        <v>34.034108317214695</v>
      </c>
      <c r="K163" s="201">
        <v>2.1984822232957715</v>
      </c>
    </row>
    <row r="164" spans="1:11">
      <c r="A164" s="258"/>
      <c r="B164" s="180" t="s">
        <v>2</v>
      </c>
      <c r="C164" s="180">
        <v>3</v>
      </c>
      <c r="D164" s="181">
        <v>243.7498368000015</v>
      </c>
      <c r="E164" s="181">
        <v>13.541657600000082</v>
      </c>
      <c r="F164" s="181">
        <v>73.846203289026732</v>
      </c>
      <c r="G164" s="181">
        <v>5328.7109375</v>
      </c>
      <c r="H164" s="181">
        <v>3018.76171875</v>
      </c>
      <c r="I164" s="181">
        <v>36.331494252873561</v>
      </c>
      <c r="J164" s="181">
        <v>33.432425747126437</v>
      </c>
      <c r="K164" s="201">
        <v>2.2679762926703839</v>
      </c>
    </row>
    <row r="165" spans="1:11">
      <c r="A165" s="258"/>
      <c r="B165" s="180" t="s">
        <v>2</v>
      </c>
      <c r="C165" s="180">
        <v>4</v>
      </c>
      <c r="D165" s="181">
        <v>243.64587720000054</v>
      </c>
      <c r="E165" s="181">
        <v>13.535882066666698</v>
      </c>
      <c r="F165" s="181">
        <v>73.877712222581209</v>
      </c>
      <c r="G165" s="181">
        <v>5302.55859375</v>
      </c>
      <c r="H165" s="181">
        <v>3018.76171875</v>
      </c>
      <c r="I165" s="181">
        <v>36.799184043517677</v>
      </c>
      <c r="J165" s="181">
        <v>30.686216681776969</v>
      </c>
      <c r="K165" s="201">
        <v>2.0779988708200996</v>
      </c>
    </row>
    <row r="166" spans="1:11">
      <c r="A166" s="258"/>
      <c r="B166" s="180" t="s">
        <v>2</v>
      </c>
      <c r="C166" s="180">
        <v>5</v>
      </c>
      <c r="D166" s="181">
        <v>239.97777060000044</v>
      </c>
      <c r="E166" s="181">
        <v>13.33209836666669</v>
      </c>
      <c r="F166" s="181">
        <v>75.006947330979031</v>
      </c>
      <c r="G166" s="181">
        <v>5291.140625</v>
      </c>
      <c r="H166" s="181">
        <v>3018.76171875</v>
      </c>
      <c r="I166" s="181">
        <v>37.064844835572025</v>
      </c>
      <c r="J166" s="181">
        <v>31.448770727188517</v>
      </c>
      <c r="K166" s="201">
        <v>2.100164396534276</v>
      </c>
    </row>
    <row r="167" spans="1:11">
      <c r="A167" s="258"/>
      <c r="B167" s="180" t="s">
        <v>3</v>
      </c>
      <c r="C167" s="180">
        <v>1</v>
      </c>
      <c r="D167" s="181">
        <v>77.153239199999916</v>
      </c>
      <c r="E167" s="181">
        <v>12.943002717664807</v>
      </c>
      <c r="F167" s="181">
        <v>77.261824154234688</v>
      </c>
      <c r="G167" s="181">
        <v>2379.97265625</v>
      </c>
      <c r="H167" s="181">
        <v>3258.70703125</v>
      </c>
      <c r="I167" s="181">
        <v>40.600284495021334</v>
      </c>
      <c r="J167" s="181">
        <v>33.137529160739682</v>
      </c>
      <c r="K167" s="201">
        <v>0.71135107011610721</v>
      </c>
    </row>
    <row r="168" spans="1:11">
      <c r="A168" s="258"/>
      <c r="B168" s="180" t="s">
        <v>3</v>
      </c>
      <c r="C168" s="180">
        <v>2</v>
      </c>
      <c r="D168" s="181">
        <v>78.524979199999962</v>
      </c>
      <c r="E168" s="181">
        <v>13.173121825197107</v>
      </c>
      <c r="F168" s="181">
        <v>75.912150002836327</v>
      </c>
      <c r="G168" s="181">
        <v>2381.046875</v>
      </c>
      <c r="H168" s="181">
        <v>3246.70703125</v>
      </c>
      <c r="I168" s="181">
        <v>38.809590973201693</v>
      </c>
      <c r="J168" s="181">
        <v>33.566699576868828</v>
      </c>
      <c r="K168" s="201">
        <v>0.73379795435193063</v>
      </c>
    </row>
    <row r="169" spans="1:11">
      <c r="A169" s="258"/>
      <c r="B169" s="180" t="s">
        <v>3</v>
      </c>
      <c r="C169" s="180">
        <v>3</v>
      </c>
      <c r="D169" s="181">
        <v>80.398778299999776</v>
      </c>
      <c r="E169" s="181">
        <v>13.487464905217207</v>
      </c>
      <c r="F169" s="181">
        <v>74.142917666698139</v>
      </c>
      <c r="G169" s="181">
        <v>2381.23828125</v>
      </c>
      <c r="H169" s="181">
        <v>3246.70703125</v>
      </c>
      <c r="I169" s="181">
        <v>37.839945280437753</v>
      </c>
      <c r="J169" s="181">
        <v>33.764860465116278</v>
      </c>
      <c r="K169" s="201">
        <v>0.75598908966920308</v>
      </c>
    </row>
    <row r="170" spans="1:11">
      <c r="A170" s="258"/>
      <c r="B170" s="180" t="s">
        <v>3</v>
      </c>
      <c r="C170" s="180">
        <v>4</v>
      </c>
      <c r="D170" s="181">
        <v>79.922912500000166</v>
      </c>
      <c r="E170" s="181">
        <v>13.407635044455656</v>
      </c>
      <c r="F170" s="181">
        <v>74.58436903184662</v>
      </c>
      <c r="G170" s="181">
        <v>2374.83203125</v>
      </c>
      <c r="H170" s="181">
        <v>3246.70703125</v>
      </c>
      <c r="I170" s="181">
        <v>37.292011019283748</v>
      </c>
      <c r="J170" s="181">
        <v>30.411008264462808</v>
      </c>
      <c r="K170" s="201">
        <v>0.67662616681426191</v>
      </c>
    </row>
    <row r="171" spans="1:11">
      <c r="A171" s="258"/>
      <c r="B171" s="180" t="s">
        <v>3</v>
      </c>
      <c r="C171" s="180">
        <v>5</v>
      </c>
      <c r="D171" s="181">
        <v>77.248009800000546</v>
      </c>
      <c r="E171" s="181">
        <v>12.958901157523998</v>
      </c>
      <c r="F171" s="181">
        <v>77.167036606294005</v>
      </c>
      <c r="G171" s="181">
        <v>2376.03515625</v>
      </c>
      <c r="H171" s="181">
        <v>3246.70703125</v>
      </c>
      <c r="I171" s="181">
        <v>37.381223328591751</v>
      </c>
      <c r="J171" s="181">
        <v>28.775389758179234</v>
      </c>
      <c r="K171" s="201">
        <v>0.61877765371523508</v>
      </c>
    </row>
    <row r="172" spans="1:11">
      <c r="A172" s="258"/>
      <c r="B172" s="180" t="s">
        <v>4</v>
      </c>
      <c r="C172" s="180">
        <v>1</v>
      </c>
      <c r="D172" s="181">
        <v>40.228727000000163</v>
      </c>
      <c r="E172" s="181">
        <v>13.40957566666672</v>
      </c>
      <c r="F172" s="181">
        <v>74.573575246365309</v>
      </c>
      <c r="G172" s="181">
        <v>6836.359375</v>
      </c>
      <c r="H172" s="181">
        <v>3258.76953125</v>
      </c>
      <c r="I172" s="181">
        <v>39.844686648501366</v>
      </c>
      <c r="J172" s="181">
        <v>32.668743869209813</v>
      </c>
      <c r="K172" s="201">
        <v>0.36693434969748401</v>
      </c>
    </row>
    <row r="173" spans="1:11">
      <c r="A173" s="258"/>
      <c r="B173" s="180" t="s">
        <v>4</v>
      </c>
      <c r="C173" s="180">
        <v>2</v>
      </c>
      <c r="D173" s="181">
        <v>40.941633700000011</v>
      </c>
      <c r="E173" s="181">
        <v>13.647211233333337</v>
      </c>
      <c r="F173" s="181">
        <v>73.275043736224902</v>
      </c>
      <c r="G173" s="181">
        <v>6836.79296875</v>
      </c>
      <c r="H173" s="181">
        <v>3258.76953125</v>
      </c>
      <c r="I173" s="181">
        <v>37.865229110512132</v>
      </c>
      <c r="J173" s="181">
        <v>33.078064690026956</v>
      </c>
      <c r="K173" s="201">
        <v>0.37729797134186999</v>
      </c>
    </row>
    <row r="174" spans="1:11">
      <c r="A174" s="258"/>
      <c r="B174" s="180" t="s">
        <v>4</v>
      </c>
      <c r="C174" s="180">
        <v>3</v>
      </c>
      <c r="D174" s="181">
        <v>38.41901770000004</v>
      </c>
      <c r="E174" s="181">
        <v>12.806339233333347</v>
      </c>
      <c r="F174" s="181">
        <v>78.08632754293447</v>
      </c>
      <c r="G174" s="181">
        <v>6834.91015625</v>
      </c>
      <c r="H174" s="181">
        <v>3258.76953125</v>
      </c>
      <c r="I174" s="181">
        <v>39.03133903133903</v>
      </c>
      <c r="J174" s="181">
        <v>34.80389743589744</v>
      </c>
      <c r="K174" s="201">
        <v>0.37257106483975033</v>
      </c>
    </row>
    <row r="175" spans="1:11">
      <c r="A175" s="258"/>
      <c r="B175" s="180" t="s">
        <v>4</v>
      </c>
      <c r="C175" s="180">
        <v>4</v>
      </c>
      <c r="D175" s="181">
        <v>37.636409599999979</v>
      </c>
      <c r="E175" s="181">
        <v>12.545469866666661</v>
      </c>
      <c r="F175" s="181">
        <v>79.71004758115933</v>
      </c>
      <c r="G175" s="181">
        <v>6829.83984375</v>
      </c>
      <c r="H175" s="181">
        <v>3258.76953125</v>
      </c>
      <c r="I175" s="181">
        <v>38.423188405797099</v>
      </c>
      <c r="J175" s="181">
        <v>29.462779710144925</v>
      </c>
      <c r="K175" s="201">
        <v>0.30921477931681984</v>
      </c>
    </row>
    <row r="176" spans="1:11">
      <c r="A176" s="258"/>
      <c r="B176" s="180" t="s">
        <v>4</v>
      </c>
      <c r="C176" s="180">
        <v>5</v>
      </c>
      <c r="D176" s="181">
        <v>38.574963600000046</v>
      </c>
      <c r="E176" s="181">
        <v>12.858321200000015</v>
      </c>
      <c r="F176" s="181">
        <v>77.770650184100148</v>
      </c>
      <c r="G176" s="181">
        <v>6834.05859375</v>
      </c>
      <c r="H176" s="181">
        <v>3258.76953125</v>
      </c>
      <c r="I176" s="181">
        <v>38.279661016949156</v>
      </c>
      <c r="J176" s="181">
        <v>29.690514124293784</v>
      </c>
      <c r="K176" s="201">
        <v>0.31936139169494315</v>
      </c>
    </row>
    <row r="177" spans="1:11">
      <c r="A177" s="258"/>
      <c r="B177" s="180" t="s">
        <v>5</v>
      </c>
      <c r="C177" s="180">
        <v>1</v>
      </c>
      <c r="D177" s="181">
        <v>31.41336350000006</v>
      </c>
      <c r="E177" s="181">
        <v>12.692268080808105</v>
      </c>
      <c r="F177" s="181">
        <v>78.788124678212043</v>
      </c>
      <c r="G177" s="181">
        <v>5801.33203125</v>
      </c>
      <c r="H177" s="181">
        <v>3258.76953125</v>
      </c>
      <c r="I177" s="181">
        <v>40.522807017543862</v>
      </c>
      <c r="J177" s="181">
        <v>32.616101754385966</v>
      </c>
      <c r="K177" s="201">
        <v>0.28651932418173792</v>
      </c>
    </row>
    <row r="178" spans="1:11">
      <c r="A178" s="258"/>
      <c r="B178" s="180" t="s">
        <v>5</v>
      </c>
      <c r="C178" s="180">
        <v>2</v>
      </c>
      <c r="D178" s="181">
        <v>30.94764639999994</v>
      </c>
      <c r="E178" s="181">
        <v>12.504099555555532</v>
      </c>
      <c r="F178" s="181">
        <v>79.973771446477585</v>
      </c>
      <c r="G178" s="181">
        <v>5793.6015625</v>
      </c>
      <c r="H178" s="181">
        <v>3246.76953125</v>
      </c>
      <c r="I178" s="181">
        <v>40.782142857142858</v>
      </c>
      <c r="J178" s="181">
        <v>34.495064285714278</v>
      </c>
      <c r="K178" s="201">
        <v>0.29879821629559317</v>
      </c>
    </row>
    <row r="179" spans="1:11">
      <c r="A179" s="258"/>
      <c r="B179" s="180" t="s">
        <v>5</v>
      </c>
      <c r="C179" s="180">
        <v>3</v>
      </c>
      <c r="D179" s="181">
        <v>31.353087500000129</v>
      </c>
      <c r="E179" s="181">
        <v>12.667914141414194</v>
      </c>
      <c r="F179" s="181">
        <v>78.93959406709115</v>
      </c>
      <c r="G179" s="181">
        <v>5799.87890625</v>
      </c>
      <c r="H179" s="181">
        <v>3246.76953125</v>
      </c>
      <c r="I179" s="181">
        <v>39.519572953736656</v>
      </c>
      <c r="J179" s="181">
        <v>35.445021352313162</v>
      </c>
      <c r="K179" s="201">
        <v>0.31135677995340477</v>
      </c>
    </row>
    <row r="180" spans="1:11">
      <c r="A180" s="258"/>
      <c r="B180" s="180" t="s">
        <v>5</v>
      </c>
      <c r="C180" s="180">
        <v>4</v>
      </c>
      <c r="D180" s="181">
        <v>31.544310600000017</v>
      </c>
      <c r="E180" s="181">
        <v>12.745176000000008</v>
      </c>
      <c r="F180" s="181">
        <v>78.461058521278915</v>
      </c>
      <c r="G180" s="181">
        <v>5800.71875</v>
      </c>
      <c r="H180" s="181">
        <v>3246.76953125</v>
      </c>
      <c r="I180" s="181">
        <v>40.041666666666664</v>
      </c>
      <c r="J180" s="181">
        <v>33.155909722222219</v>
      </c>
      <c r="K180" s="201">
        <v>0.29104308258766343</v>
      </c>
    </row>
    <row r="181" spans="1:11" ht="14.5" thickBot="1">
      <c r="A181" s="259"/>
      <c r="B181" s="202" t="s">
        <v>5</v>
      </c>
      <c r="C181" s="202">
        <v>5</v>
      </c>
      <c r="D181" s="203">
        <v>31.319294300000138</v>
      </c>
      <c r="E181" s="203">
        <v>12.654260323232378</v>
      </c>
      <c r="F181" s="203">
        <v>79.024769086191995</v>
      </c>
      <c r="G181" s="203">
        <v>5799.828125</v>
      </c>
      <c r="H181" s="203">
        <v>3246.76953125</v>
      </c>
      <c r="I181" s="203">
        <v>40.042553191489361</v>
      </c>
      <c r="J181" s="203">
        <v>33.326241134751776</v>
      </c>
      <c r="K181" s="204">
        <v>0.29203220023463644</v>
      </c>
    </row>
    <row r="182" spans="1:11">
      <c r="A182" s="239" t="s">
        <v>82</v>
      </c>
      <c r="B182" s="205" t="s">
        <v>2</v>
      </c>
      <c r="C182" s="205">
        <v>1</v>
      </c>
      <c r="D182" s="206">
        <v>190.69098030000168</v>
      </c>
      <c r="E182" s="206">
        <v>10.593943350000092</v>
      </c>
      <c r="F182" s="206">
        <v>94.393557428263122</v>
      </c>
      <c r="G182" s="206">
        <v>4812.68359375</v>
      </c>
      <c r="H182" s="206">
        <v>7238.58203125</v>
      </c>
      <c r="I182" s="206">
        <v>99.537348002316151</v>
      </c>
      <c r="J182" s="206">
        <v>50.60025825130284</v>
      </c>
      <c r="K182" s="207">
        <v>2.6820505348949877</v>
      </c>
    </row>
    <row r="183" spans="1:11">
      <c r="A183" s="258"/>
      <c r="B183" s="196" t="s">
        <v>2</v>
      </c>
      <c r="C183" s="196">
        <v>2</v>
      </c>
      <c r="D183" s="197">
        <v>186.93980039999587</v>
      </c>
      <c r="E183" s="197">
        <v>10.385544466666438</v>
      </c>
      <c r="F183" s="197">
        <v>96.287681710825225</v>
      </c>
      <c r="G183" s="197">
        <v>4813.609375</v>
      </c>
      <c r="H183" s="197">
        <v>7238.58203125</v>
      </c>
      <c r="I183" s="197">
        <v>99.736997635933804</v>
      </c>
      <c r="J183" s="197">
        <v>51.843261820330966</v>
      </c>
      <c r="K183" s="208">
        <v>2.6942821769090046</v>
      </c>
    </row>
    <row r="184" spans="1:11">
      <c r="A184" s="258"/>
      <c r="B184" s="196" t="s">
        <v>2</v>
      </c>
      <c r="C184" s="196">
        <v>3</v>
      </c>
      <c r="D184" s="197">
        <v>186.3959892999992</v>
      </c>
      <c r="E184" s="197">
        <v>10.355332738888844</v>
      </c>
      <c r="F184" s="197">
        <v>96.568601436104387</v>
      </c>
      <c r="G184" s="197">
        <v>4808.60546875</v>
      </c>
      <c r="H184" s="197">
        <v>7238.58203125</v>
      </c>
      <c r="I184" s="197">
        <v>99.767455621301778</v>
      </c>
      <c r="J184" s="197">
        <v>52.152624852071</v>
      </c>
      <c r="K184" s="208">
        <v>2.7028267027114503</v>
      </c>
    </row>
    <row r="185" spans="1:11">
      <c r="A185" s="258"/>
      <c r="B185" s="196" t="s">
        <v>2</v>
      </c>
      <c r="C185" s="196">
        <v>4</v>
      </c>
      <c r="D185" s="197">
        <v>185.60389509999368</v>
      </c>
      <c r="E185" s="197">
        <v>10.311327505555203</v>
      </c>
      <c r="F185" s="197">
        <v>96.980723331816606</v>
      </c>
      <c r="G185" s="197">
        <v>4808.65625</v>
      </c>
      <c r="H185" s="197">
        <v>7238.58203125</v>
      </c>
      <c r="I185" s="197">
        <v>99.702494061757719</v>
      </c>
      <c r="J185" s="197">
        <v>52.20417042755345</v>
      </c>
      <c r="K185" s="208">
        <v>2.6935344781085004</v>
      </c>
    </row>
    <row r="186" spans="1:11">
      <c r="A186" s="258"/>
      <c r="B186" s="196" t="s">
        <v>2</v>
      </c>
      <c r="C186" s="196">
        <v>5</v>
      </c>
      <c r="D186" s="197">
        <v>190.1399373000022</v>
      </c>
      <c r="E186" s="197">
        <v>10.563329850000121</v>
      </c>
      <c r="F186" s="197">
        <v>94.667118626423317</v>
      </c>
      <c r="G186" s="197">
        <v>4806.66015625</v>
      </c>
      <c r="H186" s="197">
        <v>7238.59375</v>
      </c>
      <c r="I186" s="197">
        <v>99.766956521739132</v>
      </c>
      <c r="J186" s="197">
        <v>51.286691014492746</v>
      </c>
      <c r="K186" s="208">
        <v>2.7108101851548216</v>
      </c>
    </row>
    <row r="187" spans="1:11">
      <c r="A187" s="258"/>
      <c r="B187" s="196" t="s">
        <v>3</v>
      </c>
      <c r="C187" s="196">
        <v>1</v>
      </c>
      <c r="D187" s="197">
        <v>65.032600000002276</v>
      </c>
      <c r="E187" s="197">
        <v>10.909679583962804</v>
      </c>
      <c r="F187" s="197">
        <v>91.661720429442951</v>
      </c>
      <c r="G187" s="197">
        <v>2382.484375</v>
      </c>
      <c r="H187" s="197">
        <v>7395.109375</v>
      </c>
      <c r="I187" s="197">
        <v>98.976230899830227</v>
      </c>
      <c r="J187" s="197">
        <v>48.548499151103563</v>
      </c>
      <c r="K187" s="208">
        <v>0.87895563979443236</v>
      </c>
    </row>
    <row r="188" spans="1:11">
      <c r="A188" s="258"/>
      <c r="B188" s="196" t="s">
        <v>3</v>
      </c>
      <c r="C188" s="196">
        <v>2</v>
      </c>
      <c r="D188" s="197">
        <v>63.716711000000942</v>
      </c>
      <c r="E188" s="197">
        <v>10.688929877537483</v>
      </c>
      <c r="F188" s="197">
        <v>93.554734801046337</v>
      </c>
      <c r="G188" s="197">
        <v>2383.3203125</v>
      </c>
      <c r="H188" s="197">
        <v>7395.109375</v>
      </c>
      <c r="I188" s="197">
        <v>99.43696027633851</v>
      </c>
      <c r="J188" s="197">
        <v>50.355281519861826</v>
      </c>
      <c r="K188" s="208">
        <v>0.89305756383124701</v>
      </c>
    </row>
    <row r="189" spans="1:11">
      <c r="A189" s="258"/>
      <c r="B189" s="196" t="s">
        <v>3</v>
      </c>
      <c r="C189" s="196">
        <v>3</v>
      </c>
      <c r="D189" s="197">
        <v>65.334618500000943</v>
      </c>
      <c r="E189" s="197">
        <v>10.960345327965264</v>
      </c>
      <c r="F189" s="197">
        <v>91.238001183092763</v>
      </c>
      <c r="G189" s="197">
        <v>2383.42578125</v>
      </c>
      <c r="H189" s="197">
        <v>7395.109375</v>
      </c>
      <c r="I189" s="197">
        <v>99.377740303541316</v>
      </c>
      <c r="J189" s="197">
        <v>48.325278246205734</v>
      </c>
      <c r="K189" s="208">
        <v>0.87893319200264441</v>
      </c>
    </row>
    <row r="190" spans="1:11">
      <c r="A190" s="258"/>
      <c r="B190" s="196" t="s">
        <v>3</v>
      </c>
      <c r="C190" s="196">
        <v>4</v>
      </c>
      <c r="D190" s="197">
        <v>66.433930200000759</v>
      </c>
      <c r="E190" s="197">
        <v>11.144762657272397</v>
      </c>
      <c r="F190" s="197">
        <v>89.72824552234502</v>
      </c>
      <c r="G190" s="197">
        <v>2383.5234375</v>
      </c>
      <c r="H190" s="197">
        <v>7395.109375</v>
      </c>
      <c r="I190" s="197">
        <v>99.465116279069761</v>
      </c>
      <c r="J190" s="197">
        <v>47.11339036544851</v>
      </c>
      <c r="K190" s="208">
        <v>0.87135769313569778</v>
      </c>
    </row>
    <row r="191" spans="1:11">
      <c r="A191" s="258"/>
      <c r="B191" s="196" t="s">
        <v>3</v>
      </c>
      <c r="C191" s="196">
        <v>5</v>
      </c>
      <c r="D191" s="197">
        <v>66.227639499997167</v>
      </c>
      <c r="E191" s="197">
        <v>11.110155930212578</v>
      </c>
      <c r="F191" s="197">
        <v>90.007737630453448</v>
      </c>
      <c r="G191" s="197">
        <v>2383.5703125</v>
      </c>
      <c r="H191" s="197">
        <v>7395.109375</v>
      </c>
      <c r="I191" s="197">
        <v>99.418874172185426</v>
      </c>
      <c r="J191" s="197">
        <v>47.879501655629134</v>
      </c>
      <c r="K191" s="208">
        <v>0.88274837082825619</v>
      </c>
    </row>
    <row r="192" spans="1:11">
      <c r="A192" s="258"/>
      <c r="B192" s="196" t="s">
        <v>4</v>
      </c>
      <c r="C192" s="196">
        <v>1</v>
      </c>
      <c r="D192" s="197">
        <v>30.064794799998708</v>
      </c>
      <c r="E192" s="197">
        <v>10.021598266666235</v>
      </c>
      <c r="F192" s="197">
        <v>99.784482813105015</v>
      </c>
      <c r="G192" s="197">
        <v>7086.71484375</v>
      </c>
      <c r="H192" s="197">
        <v>7342.5703125</v>
      </c>
      <c r="I192" s="197">
        <v>97.99636363636364</v>
      </c>
      <c r="J192" s="197">
        <v>51.582905454545454</v>
      </c>
      <c r="K192" s="208">
        <v>0.43284319019118961</v>
      </c>
    </row>
    <row r="193" spans="1:11">
      <c r="A193" s="258"/>
      <c r="B193" s="196" t="s">
        <v>4</v>
      </c>
      <c r="C193" s="196">
        <v>2</v>
      </c>
      <c r="D193" s="197">
        <v>29.893116499999451</v>
      </c>
      <c r="E193" s="197">
        <v>9.9643721666664842</v>
      </c>
      <c r="F193" s="197">
        <v>100.35755221440544</v>
      </c>
      <c r="G193" s="197">
        <v>7050.60546875</v>
      </c>
      <c r="H193" s="197">
        <v>7342.5703125</v>
      </c>
      <c r="I193" s="197">
        <v>98.571428571428569</v>
      </c>
      <c r="J193" s="197">
        <v>51.964534798534793</v>
      </c>
      <c r="K193" s="208">
        <v>0.43353620278004867</v>
      </c>
    </row>
    <row r="194" spans="1:11">
      <c r="A194" s="258"/>
      <c r="B194" s="196" t="s">
        <v>4</v>
      </c>
      <c r="C194" s="196">
        <v>3</v>
      </c>
      <c r="D194" s="197">
        <v>29.998427499998797</v>
      </c>
      <c r="E194" s="197">
        <v>9.9994758333329337</v>
      </c>
      <c r="F194" s="197">
        <v>100.00524194143577</v>
      </c>
      <c r="G194" s="197">
        <v>7006.015625</v>
      </c>
      <c r="H194" s="197">
        <v>7342.5703125</v>
      </c>
      <c r="I194" s="197">
        <v>98.652014652014657</v>
      </c>
      <c r="J194" s="197">
        <v>51.379992673992682</v>
      </c>
      <c r="K194" s="208">
        <v>0.43024989904137595</v>
      </c>
    </row>
    <row r="195" spans="1:11">
      <c r="A195" s="258"/>
      <c r="B195" s="196" t="s">
        <v>4</v>
      </c>
      <c r="C195" s="196">
        <v>4</v>
      </c>
      <c r="D195" s="197">
        <v>30.152277699999104</v>
      </c>
      <c r="E195" s="197">
        <v>10.050759233333034</v>
      </c>
      <c r="F195" s="197">
        <v>99.494971154371171</v>
      </c>
      <c r="G195" s="197">
        <v>6921.71484375</v>
      </c>
      <c r="H195" s="197">
        <v>7342.5703125</v>
      </c>
      <c r="I195" s="197">
        <v>98.570909090909097</v>
      </c>
      <c r="J195" s="197">
        <v>51.073396363636363</v>
      </c>
      <c r="K195" s="208">
        <v>0.42986623171708804</v>
      </c>
    </row>
    <row r="196" spans="1:11">
      <c r="A196" s="258"/>
      <c r="B196" s="196" t="s">
        <v>4</v>
      </c>
      <c r="C196" s="196">
        <v>5</v>
      </c>
      <c r="D196" s="197">
        <v>29.86290469999949</v>
      </c>
      <c r="E196" s="197">
        <v>9.9543015666664978</v>
      </c>
      <c r="F196" s="197">
        <v>100.45908226737406</v>
      </c>
      <c r="G196" s="197">
        <v>6922.68359375</v>
      </c>
      <c r="H196" s="197">
        <v>7342.5703125</v>
      </c>
      <c r="I196" s="197">
        <v>98.474264705882348</v>
      </c>
      <c r="J196" s="197">
        <v>52.041797794117649</v>
      </c>
      <c r="K196" s="208">
        <v>0.43371390320175757</v>
      </c>
    </row>
    <row r="197" spans="1:11">
      <c r="A197" s="258"/>
      <c r="B197" s="196" t="s">
        <v>5</v>
      </c>
      <c r="C197" s="196">
        <v>1</v>
      </c>
      <c r="D197" s="197">
        <v>25.281344799999715</v>
      </c>
      <c r="E197" s="197">
        <v>10.214684767676653</v>
      </c>
      <c r="F197" s="197">
        <v>97.898273196290887</v>
      </c>
      <c r="G197" s="197">
        <v>6442.05078125</v>
      </c>
      <c r="H197" s="197">
        <v>7342.2578125</v>
      </c>
      <c r="I197" s="197">
        <v>97.435344827586206</v>
      </c>
      <c r="J197" s="197">
        <v>50.37663362068966</v>
      </c>
      <c r="K197" s="208">
        <v>0.35606873700059422</v>
      </c>
    </row>
    <row r="198" spans="1:11">
      <c r="A198" s="258"/>
      <c r="B198" s="196" t="s">
        <v>5</v>
      </c>
      <c r="C198" s="196">
        <v>2</v>
      </c>
      <c r="D198" s="197">
        <v>24.769552499999918</v>
      </c>
      <c r="E198" s="197">
        <v>10.007899999999967</v>
      </c>
      <c r="F198" s="197">
        <v>99.921062360735348</v>
      </c>
      <c r="G198" s="197">
        <v>6414.328125</v>
      </c>
      <c r="H198" s="197">
        <v>7342.2578125</v>
      </c>
      <c r="I198" s="197">
        <v>98.238938053097343</v>
      </c>
      <c r="J198" s="197">
        <v>51.636305309734517</v>
      </c>
      <c r="K198" s="208">
        <v>0.35729082215232028</v>
      </c>
    </row>
    <row r="199" spans="1:11">
      <c r="A199" s="258"/>
      <c r="B199" s="196" t="s">
        <v>5</v>
      </c>
      <c r="C199" s="196">
        <v>3</v>
      </c>
      <c r="D199" s="197">
        <v>24.716588000000229</v>
      </c>
      <c r="E199" s="197">
        <v>9.9865002020202951</v>
      </c>
      <c r="F199" s="197">
        <v>100.13518047070158</v>
      </c>
      <c r="G199" s="197">
        <v>6354.5078125</v>
      </c>
      <c r="H199" s="197">
        <v>7342.2578125</v>
      </c>
      <c r="I199" s="197">
        <v>98.548672566371678</v>
      </c>
      <c r="J199" s="197">
        <v>51.812694690265488</v>
      </c>
      <c r="K199" s="208">
        <v>0.35776083138493381</v>
      </c>
    </row>
    <row r="200" spans="1:11">
      <c r="A200" s="258"/>
      <c r="B200" s="196" t="s">
        <v>5</v>
      </c>
      <c r="C200" s="196">
        <v>4</v>
      </c>
      <c r="D200" s="197">
        <v>24.978379500000301</v>
      </c>
      <c r="E200" s="197">
        <v>10.092274545454668</v>
      </c>
      <c r="F200" s="197">
        <v>99.085691287538097</v>
      </c>
      <c r="G200" s="197">
        <v>5912.7265625</v>
      </c>
      <c r="H200" s="197">
        <v>7342.2578125</v>
      </c>
      <c r="I200" s="197">
        <v>98.385964912280699</v>
      </c>
      <c r="J200" s="197">
        <v>50.765723684210521</v>
      </c>
      <c r="K200" s="208">
        <v>0.35439567350136369</v>
      </c>
    </row>
    <row r="201" spans="1:11" ht="14.5" thickBot="1">
      <c r="A201" s="259"/>
      <c r="B201" s="209" t="s">
        <v>5</v>
      </c>
      <c r="C201" s="209">
        <v>5</v>
      </c>
      <c r="D201" s="210">
        <v>25.120902399999977</v>
      </c>
      <c r="E201" s="210">
        <v>10.149859555555548</v>
      </c>
      <c r="F201" s="210">
        <v>98.523530747048412</v>
      </c>
      <c r="G201" s="210">
        <v>5913.03515625</v>
      </c>
      <c r="H201" s="210">
        <v>7342.2578125</v>
      </c>
      <c r="I201" s="210">
        <v>98.296943231441048</v>
      </c>
      <c r="J201" s="210">
        <v>50.276567685589512</v>
      </c>
      <c r="K201" s="211">
        <v>0.35279170205407961</v>
      </c>
    </row>
    <row r="202" spans="1:11">
      <c r="A202" s="239" t="s">
        <v>85</v>
      </c>
      <c r="B202" s="17" t="s">
        <v>2</v>
      </c>
      <c r="C202" s="17">
        <v>1</v>
      </c>
      <c r="D202" s="18">
        <v>209.03775879999921</v>
      </c>
      <c r="E202" s="18">
        <v>11.613208822222179</v>
      </c>
      <c r="F202" s="18">
        <v>86.108845135590244</v>
      </c>
      <c r="G202" s="18">
        <v>5265.44140625</v>
      </c>
      <c r="H202" s="18">
        <v>3666.3984375</v>
      </c>
      <c r="I202" s="18">
        <v>34.21525885558583</v>
      </c>
      <c r="J202" s="18">
        <v>48.200040326975476</v>
      </c>
      <c r="K202" s="19">
        <v>2.809688310367866</v>
      </c>
    </row>
    <row r="203" spans="1:11">
      <c r="A203" s="258"/>
      <c r="B203" s="20" t="s">
        <v>2</v>
      </c>
      <c r="C203" s="20">
        <v>2</v>
      </c>
      <c r="D203" s="4">
        <v>239.54195110000001</v>
      </c>
      <c r="E203" s="4">
        <v>13.307886172222222</v>
      </c>
      <c r="F203" s="4">
        <v>75.143413992172327</v>
      </c>
      <c r="G203" s="4">
        <v>5266.7109375</v>
      </c>
      <c r="H203" s="4">
        <v>3666.3984375</v>
      </c>
      <c r="I203" s="4">
        <v>33.713483146067418</v>
      </c>
      <c r="J203" s="4">
        <v>37.90443398876404</v>
      </c>
      <c r="K203" s="21">
        <v>2.532868692385231</v>
      </c>
    </row>
    <row r="204" spans="1:11">
      <c r="A204" s="258"/>
      <c r="B204" s="20" t="s">
        <v>2</v>
      </c>
      <c r="C204" s="20">
        <v>3</v>
      </c>
      <c r="D204" s="4">
        <v>223.8392133999987</v>
      </c>
      <c r="E204" s="4">
        <v>12.435511855555484</v>
      </c>
      <c r="F204" s="4">
        <v>80.414864431435248</v>
      </c>
      <c r="G204" s="4">
        <v>5266.95703125</v>
      </c>
      <c r="H204" s="4">
        <v>3666.3984375</v>
      </c>
      <c r="I204" s="4">
        <v>34.587639311043567</v>
      </c>
      <c r="J204" s="4">
        <v>41.899254812563321</v>
      </c>
      <c r="K204" s="21">
        <v>2.613988271307301</v>
      </c>
    </row>
    <row r="205" spans="1:11">
      <c r="A205" s="258"/>
      <c r="B205" s="20" t="s">
        <v>2</v>
      </c>
      <c r="C205" s="20">
        <v>4</v>
      </c>
      <c r="D205" s="4">
        <v>198.57951139999932</v>
      </c>
      <c r="E205" s="4">
        <v>11.032195077777741</v>
      </c>
      <c r="F205" s="4">
        <v>90.643792368602135</v>
      </c>
      <c r="G205" s="4">
        <v>5143.21484375</v>
      </c>
      <c r="H205" s="4">
        <v>3666.3984375</v>
      </c>
      <c r="I205" s="4">
        <v>34.300059066745419</v>
      </c>
      <c r="J205" s="4">
        <v>51.110248670998224</v>
      </c>
      <c r="K205" s="21">
        <v>2.8358467125666924</v>
      </c>
    </row>
    <row r="206" spans="1:11">
      <c r="A206" s="258"/>
      <c r="B206" s="20" t="s">
        <v>2</v>
      </c>
      <c r="C206" s="20">
        <v>5</v>
      </c>
      <c r="D206" s="4">
        <v>183.04029760000049</v>
      </c>
      <c r="E206" s="4">
        <v>10.168905422222249</v>
      </c>
      <c r="F206" s="4">
        <v>98.33900095232336</v>
      </c>
      <c r="G206" s="4">
        <v>4540.67578125</v>
      </c>
      <c r="H206" s="4">
        <v>3666.3984375</v>
      </c>
      <c r="I206" s="4">
        <v>34.105744125326368</v>
      </c>
      <c r="J206" s="4">
        <v>57.520577023498696</v>
      </c>
      <c r="K206" s="21">
        <v>2.9272263350271919</v>
      </c>
    </row>
    <row r="207" spans="1:11">
      <c r="A207" s="258"/>
      <c r="B207" s="20" t="s">
        <v>3</v>
      </c>
      <c r="C207" s="20">
        <v>1</v>
      </c>
      <c r="D207" s="4">
        <v>56.349820999999793</v>
      </c>
      <c r="E207" s="4">
        <v>9.4530818654587812</v>
      </c>
      <c r="F207" s="4">
        <v>105.78560666590266</v>
      </c>
      <c r="G207" s="4">
        <v>1979.125</v>
      </c>
      <c r="H207" s="4">
        <v>3947.2734375</v>
      </c>
      <c r="I207" s="4">
        <v>34.13276231263383</v>
      </c>
      <c r="J207" s="4">
        <v>58.661256959314777</v>
      </c>
      <c r="K207" s="21">
        <v>0.92151522679648123</v>
      </c>
    </row>
    <row r="208" spans="1:11">
      <c r="A208" s="258"/>
      <c r="B208" s="20" t="s">
        <v>3</v>
      </c>
      <c r="C208" s="20">
        <v>2</v>
      </c>
      <c r="D208" s="4">
        <v>60.537252200001603</v>
      </c>
      <c r="E208" s="4">
        <v>10.155553128669956</v>
      </c>
      <c r="F208" s="4">
        <v>98.468294865881646</v>
      </c>
      <c r="G208" s="4">
        <v>1980.52734375</v>
      </c>
      <c r="H208" s="4">
        <v>3947.2734375</v>
      </c>
      <c r="I208" s="4">
        <v>31.856299212598426</v>
      </c>
      <c r="J208" s="4">
        <v>54.764561023622043</v>
      </c>
      <c r="K208" s="21">
        <v>0.93226905736126076</v>
      </c>
    </row>
    <row r="209" spans="1:11">
      <c r="A209" s="258"/>
      <c r="B209" s="20" t="s">
        <v>3</v>
      </c>
      <c r="C209" s="20">
        <v>3</v>
      </c>
      <c r="D209" s="4">
        <v>59.411877099999401</v>
      </c>
      <c r="E209" s="4">
        <v>9.9667634792818998</v>
      </c>
      <c r="F209" s="4">
        <v>100.33347355726049</v>
      </c>
      <c r="G209" s="4">
        <v>1980.671875</v>
      </c>
      <c r="H209" s="4">
        <v>3947.2734375</v>
      </c>
      <c r="I209" s="4">
        <v>32.404858299595141</v>
      </c>
      <c r="J209" s="4">
        <v>57.602198380566804</v>
      </c>
      <c r="K209" s="21">
        <v>0.95211941709536085</v>
      </c>
    </row>
    <row r="210" spans="1:11">
      <c r="A210" s="258"/>
      <c r="B210" s="20" t="s">
        <v>3</v>
      </c>
      <c r="C210" s="20">
        <v>4</v>
      </c>
      <c r="D210" s="4">
        <v>59.827776000000085</v>
      </c>
      <c r="E210" s="4">
        <v>10.036533467539018</v>
      </c>
      <c r="F210" s="4">
        <v>99.635995160508585</v>
      </c>
      <c r="G210" s="4">
        <v>1981.06640625</v>
      </c>
      <c r="H210" s="4">
        <v>3947.2734375</v>
      </c>
      <c r="I210" s="4">
        <v>31.93951612903226</v>
      </c>
      <c r="J210" s="4">
        <v>56.39519153225806</v>
      </c>
      <c r="K210" s="21">
        <v>0.94539820290456089</v>
      </c>
    </row>
    <row r="211" spans="1:11">
      <c r="A211" s="258"/>
      <c r="B211" s="20" t="s">
        <v>3</v>
      </c>
      <c r="C211" s="20">
        <v>5</v>
      </c>
      <c r="D211" s="4">
        <v>60.784105599999748</v>
      </c>
      <c r="E211" s="4">
        <v>10.19696453615161</v>
      </c>
      <c r="F211" s="4">
        <v>98.06840030233208</v>
      </c>
      <c r="G211" s="4">
        <v>1981.48046875</v>
      </c>
      <c r="H211" s="4">
        <v>3947.2734375</v>
      </c>
      <c r="I211" s="4">
        <v>31.927165354330707</v>
      </c>
      <c r="J211" s="4">
        <v>56.254976377952758</v>
      </c>
      <c r="K211" s="21">
        <v>0.94884164640895863</v>
      </c>
    </row>
    <row r="212" spans="1:11">
      <c r="A212" s="258"/>
      <c r="B212" s="20" t="s">
        <v>4</v>
      </c>
      <c r="C212" s="20">
        <v>1</v>
      </c>
      <c r="D212" s="4">
        <v>29.877370799999881</v>
      </c>
      <c r="E212" s="4">
        <v>9.959123599999959</v>
      </c>
      <c r="F212" s="4">
        <v>100.4104417380666</v>
      </c>
      <c r="G212" s="4">
        <v>6822.48828125</v>
      </c>
      <c r="H212" s="4">
        <v>3668.4375</v>
      </c>
      <c r="I212" s="4">
        <v>33.726190476190474</v>
      </c>
      <c r="J212" s="4">
        <v>57.449992063492068</v>
      </c>
      <c r="K212" s="21">
        <v>0.4855659319191008</v>
      </c>
    </row>
    <row r="213" spans="1:11">
      <c r="A213" s="258"/>
      <c r="B213" s="20" t="s">
        <v>4</v>
      </c>
      <c r="C213" s="20">
        <v>2</v>
      </c>
      <c r="D213" s="4">
        <v>29.694569000000001</v>
      </c>
      <c r="E213" s="4">
        <v>9.8981896666666671</v>
      </c>
      <c r="F213" s="4">
        <v>101.02857529267388</v>
      </c>
      <c r="G213" s="4">
        <v>6821.94921875</v>
      </c>
      <c r="H213" s="4">
        <v>3668.4375</v>
      </c>
      <c r="I213" s="4">
        <v>33.065573770491802</v>
      </c>
      <c r="J213" s="4">
        <v>55.159618852459019</v>
      </c>
      <c r="K213" s="21">
        <v>0.46073135786673192</v>
      </c>
    </row>
    <row r="214" spans="1:11">
      <c r="A214" s="258"/>
      <c r="B214" s="20" t="s">
        <v>4</v>
      </c>
      <c r="C214" s="20">
        <v>3</v>
      </c>
      <c r="D214" s="4">
        <v>30.47251110000002</v>
      </c>
      <c r="E214" s="4">
        <v>10.157503700000007</v>
      </c>
      <c r="F214" s="4">
        <v>98.449385748193166</v>
      </c>
      <c r="G214" s="4">
        <v>6823.38671875</v>
      </c>
      <c r="H214" s="4">
        <v>3668.4375</v>
      </c>
      <c r="I214" s="4">
        <v>35.18181818181818</v>
      </c>
      <c r="J214" s="4">
        <v>55.573193181818183</v>
      </c>
      <c r="K214" s="21">
        <v>0.47363002147706967</v>
      </c>
    </row>
    <row r="215" spans="1:11">
      <c r="A215" s="258"/>
      <c r="B215" s="20" t="s">
        <v>4</v>
      </c>
      <c r="C215" s="20">
        <v>4</v>
      </c>
      <c r="D215" s="4">
        <v>27.846996999999874</v>
      </c>
      <c r="E215" s="4">
        <v>9.2823323333332901</v>
      </c>
      <c r="F215" s="4">
        <v>107.73154462579981</v>
      </c>
      <c r="G215" s="4">
        <v>6823.39453125</v>
      </c>
      <c r="H215" s="4">
        <v>3668.4375</v>
      </c>
      <c r="I215" s="4">
        <v>40.125</v>
      </c>
      <c r="J215" s="4">
        <v>59.488666666666667</v>
      </c>
      <c r="K215" s="21">
        <v>0.4636421332023602</v>
      </c>
    </row>
    <row r="216" spans="1:11">
      <c r="A216" s="258"/>
      <c r="B216" s="20" t="s">
        <v>4</v>
      </c>
      <c r="C216" s="20">
        <v>5</v>
      </c>
      <c r="D216" s="4">
        <v>27.741594200000009</v>
      </c>
      <c r="E216" s="4">
        <v>9.2471980666666695</v>
      </c>
      <c r="F216" s="4">
        <v>108.14086524270473</v>
      </c>
      <c r="G216" s="4">
        <v>6821.8203125</v>
      </c>
      <c r="H216" s="4">
        <v>3668.4375</v>
      </c>
      <c r="I216" s="4">
        <v>39.291666666666664</v>
      </c>
      <c r="J216" s="4">
        <v>58.376295833333337</v>
      </c>
      <c r="K216" s="21">
        <v>0.45240759384750756</v>
      </c>
    </row>
    <row r="217" spans="1:11">
      <c r="A217" s="258"/>
      <c r="B217" s="20" t="s">
        <v>5</v>
      </c>
      <c r="C217" s="20">
        <v>1</v>
      </c>
      <c r="D217" s="4">
        <v>22.45205870000018</v>
      </c>
      <c r="E217" s="4">
        <v>9.0715388686869414</v>
      </c>
      <c r="F217" s="4">
        <v>110.23488015377316</v>
      </c>
      <c r="G217" s="4">
        <v>5783.50390625</v>
      </c>
      <c r="H217" s="4">
        <v>3681.75</v>
      </c>
      <c r="I217" s="4">
        <v>35.781914893617021</v>
      </c>
      <c r="J217" s="4">
        <v>58.785914893617026</v>
      </c>
      <c r="K217" s="21">
        <v>0.3721378871904738</v>
      </c>
    </row>
    <row r="218" spans="1:11">
      <c r="A218" s="258"/>
      <c r="B218" s="20" t="s">
        <v>5</v>
      </c>
      <c r="C218" s="20">
        <v>2</v>
      </c>
      <c r="D218" s="4">
        <v>21.854369000000133</v>
      </c>
      <c r="E218" s="4">
        <v>8.830048080808135</v>
      </c>
      <c r="F218" s="4">
        <v>113.24966646257253</v>
      </c>
      <c r="G218" s="4">
        <v>5788.453125</v>
      </c>
      <c r="H218" s="4">
        <v>3681.75</v>
      </c>
      <c r="I218" s="4">
        <v>37.288135593220339</v>
      </c>
      <c r="J218" s="4">
        <v>61.322593220338987</v>
      </c>
      <c r="K218" s="21">
        <v>0.38104475220530731</v>
      </c>
    </row>
    <row r="219" spans="1:11">
      <c r="A219" s="258"/>
      <c r="B219" s="20" t="s">
        <v>5</v>
      </c>
      <c r="C219" s="20">
        <v>3</v>
      </c>
      <c r="D219" s="4">
        <v>22.027217300000075</v>
      </c>
      <c r="E219" s="4">
        <v>8.8998857777778078</v>
      </c>
      <c r="F219" s="4">
        <v>112.36099259800699</v>
      </c>
      <c r="G219" s="4">
        <v>5788.20703125</v>
      </c>
      <c r="H219" s="4">
        <v>3681.75</v>
      </c>
      <c r="I219" s="4">
        <v>37.37222222222222</v>
      </c>
      <c r="J219" s="4">
        <v>59.112311111111111</v>
      </c>
      <c r="K219" s="21">
        <v>0.36834414435042895</v>
      </c>
    </row>
    <row r="220" spans="1:11">
      <c r="A220" s="258"/>
      <c r="B220" s="20" t="s">
        <v>5</v>
      </c>
      <c r="C220" s="20">
        <v>4</v>
      </c>
      <c r="D220" s="4">
        <v>22.336011800000051</v>
      </c>
      <c r="E220" s="4">
        <v>9.0246512323232526</v>
      </c>
      <c r="F220" s="4">
        <v>110.80760621732813</v>
      </c>
      <c r="G220" s="4">
        <v>5788.5078125</v>
      </c>
      <c r="H220" s="4">
        <v>3681.75</v>
      </c>
      <c r="I220" s="4">
        <v>36.548387096774192</v>
      </c>
      <c r="J220" s="4">
        <v>58.436801075268811</v>
      </c>
      <c r="K220" s="21">
        <v>0.36552709272858125</v>
      </c>
    </row>
    <row r="221" spans="1:11" ht="14.5" thickBot="1">
      <c r="A221" s="259"/>
      <c r="B221" s="22" t="s">
        <v>5</v>
      </c>
      <c r="C221" s="22">
        <v>5</v>
      </c>
      <c r="D221" s="23">
        <v>22.231567900000073</v>
      </c>
      <c r="E221" s="23">
        <v>8.9824516767677061</v>
      </c>
      <c r="F221" s="23">
        <v>111.32818032146045</v>
      </c>
      <c r="G221" s="23">
        <v>5787.96875</v>
      </c>
      <c r="H221" s="23">
        <v>3681.75</v>
      </c>
      <c r="I221" s="23">
        <v>36.550802139037437</v>
      </c>
      <c r="J221" s="23">
        <v>58.351652406417124</v>
      </c>
      <c r="K221" s="24">
        <v>0.36448200944951198</v>
      </c>
    </row>
  </sheetData>
  <mergeCells count="11">
    <mergeCell ref="A202:A221"/>
    <mergeCell ref="A102:A121"/>
    <mergeCell ref="A122:A141"/>
    <mergeCell ref="A142:A161"/>
    <mergeCell ref="A162:A181"/>
    <mergeCell ref="A182:A201"/>
    <mergeCell ref="A2:A21"/>
    <mergeCell ref="A22:A41"/>
    <mergeCell ref="A42:A61"/>
    <mergeCell ref="A62:A81"/>
    <mergeCell ref="A82:A10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3"/>
  <sheetViews>
    <sheetView workbookViewId="0">
      <selection activeCell="J10" sqref="J10"/>
    </sheetView>
  </sheetViews>
  <sheetFormatPr defaultRowHeight="14"/>
  <cols>
    <col min="2" max="2" width="30" customWidth="1"/>
    <col min="3" max="3" width="13" customWidth="1"/>
    <col min="4" max="7" width="18" customWidth="1"/>
  </cols>
  <sheetData>
    <row r="1" spans="1:7" ht="18">
      <c r="B1" s="260" t="s">
        <v>64</v>
      </c>
      <c r="C1" s="260"/>
      <c r="D1" s="260"/>
      <c r="E1" s="260"/>
      <c r="F1" s="260"/>
      <c r="G1" s="260"/>
    </row>
    <row r="3" spans="1:7" ht="14.5" thickBot="1">
      <c r="A3" s="1" t="s">
        <v>61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</row>
    <row r="4" spans="1:7">
      <c r="A4" s="248" t="s">
        <v>65</v>
      </c>
      <c r="B4" s="42" t="s">
        <v>6</v>
      </c>
      <c r="C4" s="42" t="s">
        <v>7</v>
      </c>
      <c r="D4" s="18">
        <v>18.642884420000065</v>
      </c>
      <c r="E4" s="18">
        <v>6.110726739999973</v>
      </c>
      <c r="F4" s="18">
        <v>3.2246227400000178</v>
      </c>
      <c r="G4" s="19">
        <v>2.7969264399999987</v>
      </c>
    </row>
    <row r="5" spans="1:7">
      <c r="A5" s="249"/>
      <c r="B5" s="8" t="s">
        <v>8</v>
      </c>
      <c r="C5" s="8" t="s">
        <v>9</v>
      </c>
      <c r="D5" s="4">
        <v>1.0357158011111147</v>
      </c>
      <c r="E5" s="4">
        <v>1.0251177218587439</v>
      </c>
      <c r="F5" s="4">
        <v>1.0748742466666728</v>
      </c>
      <c r="G5" s="21">
        <v>1.1300712888888882</v>
      </c>
    </row>
    <row r="6" spans="1:7">
      <c r="A6" s="249"/>
      <c r="B6" s="8" t="s">
        <v>10</v>
      </c>
      <c r="C6" s="8" t="s">
        <v>11</v>
      </c>
      <c r="D6" s="4">
        <v>965.56579109920926</v>
      </c>
      <c r="E6" s="4">
        <v>976.90093939835276</v>
      </c>
      <c r="F6" s="4">
        <v>932.91666389712395</v>
      </c>
      <c r="G6" s="21">
        <v>887.80912528117267</v>
      </c>
    </row>
    <row r="7" spans="1:7">
      <c r="A7" s="249"/>
      <c r="B7" s="8" t="s">
        <v>12</v>
      </c>
      <c r="C7" s="8" t="s">
        <v>13</v>
      </c>
      <c r="D7" s="4">
        <v>3.3259725110062601</v>
      </c>
      <c r="E7" s="4">
        <v>3.2777768097897866</v>
      </c>
      <c r="F7" s="4">
        <v>3.1024171484622074</v>
      </c>
      <c r="G7" s="21">
        <v>3.2067988654863657</v>
      </c>
    </row>
    <row r="8" spans="1:7">
      <c r="A8" s="249"/>
      <c r="B8" s="8" t="s">
        <v>14</v>
      </c>
      <c r="C8" s="8" t="s">
        <v>13</v>
      </c>
      <c r="D8" s="4">
        <v>5.97</v>
      </c>
      <c r="E8" s="4">
        <v>6.413125</v>
      </c>
      <c r="F8" s="4">
        <v>4.9331250000000004</v>
      </c>
      <c r="G8" s="21">
        <v>5.3743749999999997</v>
      </c>
    </row>
    <row r="9" spans="1:7">
      <c r="A9" s="249"/>
      <c r="B9" s="8" t="s">
        <v>15</v>
      </c>
      <c r="C9" s="8" t="s">
        <v>16</v>
      </c>
      <c r="D9" s="4">
        <v>8355.2367187500004</v>
      </c>
      <c r="E9" s="4">
        <v>6873.1921874999998</v>
      </c>
      <c r="F9" s="4">
        <v>6146.8671875</v>
      </c>
      <c r="G9" s="21">
        <v>5121.4828125000004</v>
      </c>
    </row>
    <row r="10" spans="1:7">
      <c r="A10" s="249"/>
      <c r="B10" s="8" t="s">
        <v>17</v>
      </c>
      <c r="C10" s="8" t="s">
        <v>16</v>
      </c>
      <c r="D10" s="4">
        <v>9690.7258030962021</v>
      </c>
      <c r="E10" s="4">
        <v>7332.4189823343149</v>
      </c>
      <c r="F10" s="4">
        <v>6386.7783083818831</v>
      </c>
      <c r="G10" s="21">
        <v>5322.7051418142046</v>
      </c>
    </row>
    <row r="11" spans="1:7">
      <c r="A11" s="249"/>
      <c r="B11" s="8" t="s">
        <v>18</v>
      </c>
      <c r="C11" s="8" t="s">
        <v>16</v>
      </c>
      <c r="D11" s="4">
        <v>9713.1843750000007</v>
      </c>
      <c r="E11" s="4">
        <v>7353.0554687499998</v>
      </c>
      <c r="F11" s="4">
        <v>6409.12890625</v>
      </c>
      <c r="G11" s="21">
        <v>5345.3148437500004</v>
      </c>
    </row>
    <row r="12" spans="1:7">
      <c r="A12" s="249"/>
      <c r="B12" s="8" t="s">
        <v>19</v>
      </c>
      <c r="C12" s="8" t="s">
        <v>16</v>
      </c>
      <c r="D12" s="4">
        <v>1335.4890843462013</v>
      </c>
      <c r="E12" s="4">
        <v>459.22679483431455</v>
      </c>
      <c r="F12" s="4">
        <v>239.91112088188328</v>
      </c>
      <c r="G12" s="21">
        <v>201.22232931420439</v>
      </c>
    </row>
    <row r="13" spans="1:7">
      <c r="A13" s="249"/>
      <c r="B13" s="8" t="s">
        <v>20</v>
      </c>
      <c r="C13" s="8" t="s">
        <v>16</v>
      </c>
      <c r="D13" s="4">
        <v>1357.9476562499999</v>
      </c>
      <c r="E13" s="4">
        <v>479.86328125</v>
      </c>
      <c r="F13" s="4">
        <v>262.26171875</v>
      </c>
      <c r="G13" s="21">
        <v>223.83203125</v>
      </c>
    </row>
    <row r="14" spans="1:7">
      <c r="A14" s="249"/>
      <c r="B14" s="8" t="s">
        <v>21</v>
      </c>
      <c r="C14" s="8" t="s">
        <v>16</v>
      </c>
      <c r="D14" s="4">
        <v>7119.359375</v>
      </c>
      <c r="E14" s="4">
        <v>7119.359375</v>
      </c>
      <c r="F14" s="4">
        <v>7119.359375</v>
      </c>
      <c r="G14" s="21">
        <v>7119.359375</v>
      </c>
    </row>
    <row r="15" spans="1:7">
      <c r="A15" s="249"/>
      <c r="B15" s="8" t="s">
        <v>22</v>
      </c>
      <c r="C15" s="8" t="s">
        <v>16</v>
      </c>
      <c r="D15" s="4">
        <v>7119.359375</v>
      </c>
      <c r="E15" s="4">
        <v>7119.359375</v>
      </c>
      <c r="F15" s="4">
        <v>7119.359375</v>
      </c>
      <c r="G15" s="21">
        <v>7119.359375</v>
      </c>
    </row>
    <row r="16" spans="1:7">
      <c r="A16" s="249"/>
      <c r="B16" s="8" t="s">
        <v>23</v>
      </c>
      <c r="C16" s="8" t="s">
        <v>16</v>
      </c>
      <c r="D16" s="4">
        <v>7119.359375</v>
      </c>
      <c r="E16" s="4">
        <v>7119.359375</v>
      </c>
      <c r="F16" s="4">
        <v>7119.359375</v>
      </c>
      <c r="G16" s="21">
        <v>7119.359375</v>
      </c>
    </row>
    <row r="17" spans="1:7">
      <c r="A17" s="249"/>
      <c r="B17" s="8" t="s">
        <v>24</v>
      </c>
      <c r="C17" s="8" t="s">
        <v>16</v>
      </c>
      <c r="D17" s="4">
        <v>0</v>
      </c>
      <c r="E17" s="4">
        <v>0</v>
      </c>
      <c r="F17" s="4">
        <v>0</v>
      </c>
      <c r="G17" s="21">
        <v>0</v>
      </c>
    </row>
    <row r="18" spans="1:7">
      <c r="A18" s="249"/>
      <c r="B18" s="8" t="s">
        <v>25</v>
      </c>
      <c r="C18" s="8" t="s">
        <v>16</v>
      </c>
      <c r="D18" s="4">
        <v>0</v>
      </c>
      <c r="E18" s="4">
        <v>0</v>
      </c>
      <c r="F18" s="4">
        <v>0</v>
      </c>
      <c r="G18" s="21">
        <v>0</v>
      </c>
    </row>
    <row r="19" spans="1:7">
      <c r="A19" s="249"/>
      <c r="B19" s="8" t="s">
        <v>26</v>
      </c>
      <c r="C19" s="8" t="s">
        <v>13</v>
      </c>
      <c r="D19" s="4">
        <v>89.614422887085212</v>
      </c>
      <c r="E19" s="4">
        <v>84.92910338249321</v>
      </c>
      <c r="F19" s="4">
        <v>79.651325110689442</v>
      </c>
      <c r="G19" s="21">
        <v>81.393190883190883</v>
      </c>
    </row>
    <row r="20" spans="1:7">
      <c r="A20" s="249"/>
      <c r="B20" s="8" t="s">
        <v>27</v>
      </c>
      <c r="C20" s="8" t="s">
        <v>13</v>
      </c>
      <c r="D20" s="4">
        <v>93.6</v>
      </c>
      <c r="E20" s="4">
        <v>93.8</v>
      </c>
      <c r="F20" s="4">
        <v>93</v>
      </c>
      <c r="G20" s="21">
        <v>94.4</v>
      </c>
    </row>
    <row r="21" spans="1:7">
      <c r="A21" s="249"/>
      <c r="B21" s="8" t="s">
        <v>28</v>
      </c>
      <c r="C21" s="8" t="s">
        <v>29</v>
      </c>
      <c r="D21" s="4">
        <v>76.927032979760781</v>
      </c>
      <c r="E21" s="4">
        <v>69.975872053708997</v>
      </c>
      <c r="F21" s="4">
        <v>56.746785015812776</v>
      </c>
      <c r="G21" s="21">
        <v>53.99146046805047</v>
      </c>
    </row>
    <row r="22" spans="1:7">
      <c r="A22" s="249"/>
      <c r="B22" s="8" t="s">
        <v>30</v>
      </c>
      <c r="C22" s="8" t="s">
        <v>29</v>
      </c>
      <c r="D22" s="4">
        <v>99.548599999999993</v>
      </c>
      <c r="E22" s="4">
        <v>88.468199999999996</v>
      </c>
      <c r="F22" s="4">
        <v>83.102599999999995</v>
      </c>
      <c r="G22" s="21">
        <v>81.475200000000001</v>
      </c>
    </row>
    <row r="23" spans="1:7" ht="14.5" thickBot="1">
      <c r="A23" s="250"/>
      <c r="B23" s="43" t="s">
        <v>31</v>
      </c>
      <c r="C23" s="43" t="s">
        <v>32</v>
      </c>
      <c r="D23" s="23">
        <v>0.39737857829683598</v>
      </c>
      <c r="E23" s="23">
        <v>0.11892980909197794</v>
      </c>
      <c r="F23" s="23">
        <v>5.1454328194691541E-2</v>
      </c>
      <c r="G23" s="24">
        <v>4.2356502612533452E-2</v>
      </c>
    </row>
    <row r="24" spans="1:7">
      <c r="A24" s="248" t="s">
        <v>63</v>
      </c>
      <c r="B24" s="42" t="s">
        <v>6</v>
      </c>
      <c r="C24" s="42" t="s">
        <v>7</v>
      </c>
      <c r="D24" s="18">
        <v>23.456171939999876</v>
      </c>
      <c r="E24" s="18">
        <v>7.8246619399999648</v>
      </c>
      <c r="F24" s="18">
        <v>4.086352539999984</v>
      </c>
      <c r="G24" s="19">
        <v>3.227596060000002</v>
      </c>
    </row>
    <row r="25" spans="1:7">
      <c r="A25" s="249"/>
      <c r="B25" s="8" t="s">
        <v>8</v>
      </c>
      <c r="C25" s="8" t="s">
        <v>9</v>
      </c>
      <c r="D25" s="4">
        <v>1.3031206633333265</v>
      </c>
      <c r="E25" s="4">
        <v>1.3126424995806012</v>
      </c>
      <c r="F25" s="4">
        <v>1.3621175133333281</v>
      </c>
      <c r="G25" s="21">
        <v>1.304079216161617</v>
      </c>
    </row>
    <row r="26" spans="1:7">
      <c r="A26" s="249"/>
      <c r="B26" s="8" t="s">
        <v>10</v>
      </c>
      <c r="C26" s="8" t="s">
        <v>11</v>
      </c>
      <c r="D26" s="4">
        <v>769.20425449008951</v>
      </c>
      <c r="E26" s="4">
        <v>763.28779797533491</v>
      </c>
      <c r="F26" s="4">
        <v>736.59025099646976</v>
      </c>
      <c r="G26" s="21">
        <v>769.21946889949788</v>
      </c>
    </row>
    <row r="27" spans="1:7">
      <c r="A27" s="249"/>
      <c r="B27" s="8" t="s">
        <v>12</v>
      </c>
      <c r="C27" s="8" t="s">
        <v>13</v>
      </c>
      <c r="D27" s="4">
        <v>3.1987365187653083</v>
      </c>
      <c r="E27" s="4">
        <v>3.0699711894786437</v>
      </c>
      <c r="F27" s="4">
        <v>3.0302908503551098</v>
      </c>
      <c r="G27" s="21">
        <v>2.8984597120098043</v>
      </c>
    </row>
    <row r="28" spans="1:7">
      <c r="A28" s="249"/>
      <c r="B28" s="8" t="s">
        <v>14</v>
      </c>
      <c r="C28" s="8" t="s">
        <v>13</v>
      </c>
      <c r="D28" s="4">
        <v>5.1412499999999994</v>
      </c>
      <c r="E28" s="4">
        <v>5.32125</v>
      </c>
      <c r="F28" s="4">
        <v>5.6556249999999997</v>
      </c>
      <c r="G28" s="21">
        <v>4.1256249999999994</v>
      </c>
    </row>
    <row r="29" spans="1:7">
      <c r="A29" s="249"/>
      <c r="B29" s="8" t="s">
        <v>15</v>
      </c>
      <c r="C29" s="8" t="s">
        <v>16</v>
      </c>
      <c r="D29" s="4">
        <v>2710.5062499999999</v>
      </c>
      <c r="E29" s="4">
        <v>6911.6398437500002</v>
      </c>
      <c r="F29" s="4">
        <v>6180.19140625</v>
      </c>
      <c r="G29" s="21">
        <v>5145.5656250000002</v>
      </c>
    </row>
    <row r="30" spans="1:7">
      <c r="A30" s="249"/>
      <c r="B30" s="8" t="s">
        <v>17</v>
      </c>
      <c r="C30" s="8" t="s">
        <v>16</v>
      </c>
      <c r="D30" s="4">
        <v>4049.7501991081217</v>
      </c>
      <c r="E30" s="4">
        <v>7374.5034385724948</v>
      </c>
      <c r="F30" s="4">
        <v>6423.2861721001109</v>
      </c>
      <c r="G30" s="21">
        <v>5347.9604168581491</v>
      </c>
    </row>
    <row r="31" spans="1:7">
      <c r="A31" s="249"/>
      <c r="B31" s="8" t="s">
        <v>18</v>
      </c>
      <c r="C31" s="8" t="s">
        <v>16</v>
      </c>
      <c r="D31" s="4">
        <v>4068.8296875000001</v>
      </c>
      <c r="E31" s="4">
        <v>7392.31640625</v>
      </c>
      <c r="F31" s="4">
        <v>6442.6828125000002</v>
      </c>
      <c r="G31" s="21">
        <v>5369.3374999999996</v>
      </c>
    </row>
    <row r="32" spans="1:7">
      <c r="A32" s="249"/>
      <c r="B32" s="8" t="s">
        <v>19</v>
      </c>
      <c r="C32" s="8" t="s">
        <v>16</v>
      </c>
      <c r="D32" s="4">
        <v>1339.2439491081216</v>
      </c>
      <c r="E32" s="4">
        <v>462.86359482249497</v>
      </c>
      <c r="F32" s="4">
        <v>243.09476585011126</v>
      </c>
      <c r="G32" s="21">
        <v>202.39479185814943</v>
      </c>
    </row>
    <row r="33" spans="1:7">
      <c r="A33" s="249"/>
      <c r="B33" s="8" t="s">
        <v>20</v>
      </c>
      <c r="C33" s="8" t="s">
        <v>16</v>
      </c>
      <c r="D33" s="4">
        <v>1358.3234375</v>
      </c>
      <c r="E33" s="4">
        <v>480.67656249999999</v>
      </c>
      <c r="F33" s="4">
        <v>262.49140625000001</v>
      </c>
      <c r="G33" s="21">
        <v>223.77187499999999</v>
      </c>
    </row>
    <row r="34" spans="1:7">
      <c r="A34" s="249"/>
      <c r="B34" s="8" t="s">
        <v>21</v>
      </c>
      <c r="C34" s="8" t="s">
        <v>16</v>
      </c>
      <c r="D34" s="4">
        <v>7000.53125</v>
      </c>
      <c r="E34" s="4">
        <v>7003.67578125</v>
      </c>
      <c r="F34" s="4">
        <v>7005.42578125</v>
      </c>
      <c r="G34" s="21">
        <v>7005.42578125</v>
      </c>
    </row>
    <row r="35" spans="1:7">
      <c r="A35" s="249"/>
      <c r="B35" s="8" t="s">
        <v>22</v>
      </c>
      <c r="C35" s="8" t="s">
        <v>16</v>
      </c>
      <c r="D35" s="4">
        <v>7000.53125</v>
      </c>
      <c r="E35" s="4">
        <v>7003.67578125</v>
      </c>
      <c r="F35" s="4">
        <v>7005.42578125</v>
      </c>
      <c r="G35" s="21">
        <v>7005.42578125</v>
      </c>
    </row>
    <row r="36" spans="1:7">
      <c r="A36" s="249"/>
      <c r="B36" s="8" t="s">
        <v>23</v>
      </c>
      <c r="C36" s="8" t="s">
        <v>16</v>
      </c>
      <c r="D36" s="4">
        <v>7000.53125</v>
      </c>
      <c r="E36" s="4">
        <v>7003.67578125</v>
      </c>
      <c r="F36" s="4">
        <v>7005.42578125</v>
      </c>
      <c r="G36" s="21">
        <v>7005.42578125</v>
      </c>
    </row>
    <row r="37" spans="1:7">
      <c r="A37" s="249"/>
      <c r="B37" s="8" t="s">
        <v>24</v>
      </c>
      <c r="C37" s="8" t="s">
        <v>16</v>
      </c>
      <c r="D37" s="4">
        <v>0</v>
      </c>
      <c r="E37" s="4">
        <v>0</v>
      </c>
      <c r="F37" s="4">
        <v>0</v>
      </c>
      <c r="G37" s="21">
        <v>0</v>
      </c>
    </row>
    <row r="38" spans="1:7">
      <c r="A38" s="249"/>
      <c r="B38" s="8" t="s">
        <v>25</v>
      </c>
      <c r="C38" s="8" t="s">
        <v>16</v>
      </c>
      <c r="D38" s="4">
        <v>0</v>
      </c>
      <c r="E38" s="4">
        <v>0</v>
      </c>
      <c r="F38" s="4">
        <v>0</v>
      </c>
      <c r="G38" s="21">
        <v>0</v>
      </c>
    </row>
    <row r="39" spans="1:7">
      <c r="A39" s="249"/>
      <c r="B39" s="8" t="s">
        <v>26</v>
      </c>
      <c r="C39" s="8" t="s">
        <v>13</v>
      </c>
      <c r="D39" s="4">
        <v>89.848546964757759</v>
      </c>
      <c r="E39" s="4">
        <v>87.02287242441993</v>
      </c>
      <c r="F39" s="4">
        <v>83.282407112884471</v>
      </c>
      <c r="G39" s="21">
        <v>77.995784313725494</v>
      </c>
    </row>
    <row r="40" spans="1:7">
      <c r="A40" s="249"/>
      <c r="B40" s="8" t="s">
        <v>27</v>
      </c>
      <c r="C40" s="8" t="s">
        <v>13</v>
      </c>
      <c r="D40" s="4">
        <v>98.6</v>
      </c>
      <c r="E40" s="4">
        <v>91.8</v>
      </c>
      <c r="F40" s="4">
        <v>92.4</v>
      </c>
      <c r="G40" s="21">
        <v>92.6</v>
      </c>
    </row>
    <row r="41" spans="1:7">
      <c r="A41" s="249"/>
      <c r="B41" s="8" t="s">
        <v>28</v>
      </c>
      <c r="C41" s="8" t="s">
        <v>29</v>
      </c>
      <c r="D41" s="4">
        <v>64.823911069648005</v>
      </c>
      <c r="E41" s="4">
        <v>61.057648628989128</v>
      </c>
      <c r="F41" s="4">
        <v>54.126029959768637</v>
      </c>
      <c r="G41" s="21">
        <v>53.666874460784314</v>
      </c>
    </row>
    <row r="42" spans="1:7">
      <c r="A42" s="249"/>
      <c r="B42" s="8" t="s">
        <v>30</v>
      </c>
      <c r="C42" s="8" t="s">
        <v>29</v>
      </c>
      <c r="D42" s="4">
        <v>87.123599999999996</v>
      </c>
      <c r="E42" s="4">
        <v>80.131600000000006</v>
      </c>
      <c r="F42" s="4">
        <v>80.356200000000001</v>
      </c>
      <c r="G42" s="21">
        <v>82.794600000000003</v>
      </c>
    </row>
    <row r="43" spans="1:7" ht="14.5" thickBot="1">
      <c r="A43" s="250"/>
      <c r="B43" s="43" t="s">
        <v>31</v>
      </c>
      <c r="C43" s="43" t="s">
        <v>32</v>
      </c>
      <c r="D43" s="23">
        <v>0.41957355587789957</v>
      </c>
      <c r="E43" s="23">
        <v>0.13321260687125844</v>
      </c>
      <c r="F43" s="23">
        <v>6.1992135228391677E-2</v>
      </c>
      <c r="G43" s="24">
        <v>4.864688918762787E-2</v>
      </c>
    </row>
    <row r="44" spans="1:7">
      <c r="A44" s="239" t="s">
        <v>68</v>
      </c>
      <c r="B44" s="42" t="s">
        <v>6</v>
      </c>
      <c r="C44" s="42" t="s">
        <v>7</v>
      </c>
      <c r="D44" s="18">
        <v>20.674768640000003</v>
      </c>
      <c r="E44" s="18">
        <v>7.2959060199999843</v>
      </c>
      <c r="F44" s="18">
        <v>3.7026719999999842</v>
      </c>
      <c r="G44" s="19">
        <v>2.9724788999999872</v>
      </c>
    </row>
    <row r="45" spans="1:7">
      <c r="A45" s="258"/>
      <c r="B45" s="8" t="s">
        <v>8</v>
      </c>
      <c r="C45" s="8" t="s">
        <v>9</v>
      </c>
      <c r="D45" s="4">
        <v>1.1485982577777778</v>
      </c>
      <c r="E45" s="4">
        <v>1.2239399463177292</v>
      </c>
      <c r="F45" s="4">
        <v>1.2342239999999947</v>
      </c>
      <c r="G45" s="21">
        <v>1.2010015757575705</v>
      </c>
    </row>
    <row r="46" spans="1:7">
      <c r="A46" s="258"/>
      <c r="B46" s="8" t="s">
        <v>10</v>
      </c>
      <c r="C46" s="8" t="s">
        <v>11</v>
      </c>
      <c r="D46" s="4">
        <v>870.96408200607402</v>
      </c>
      <c r="E46" s="4">
        <v>819.00561318881262</v>
      </c>
      <c r="F46" s="4">
        <v>818.90017578175957</v>
      </c>
      <c r="G46" s="21">
        <v>838.40658269855953</v>
      </c>
    </row>
    <row r="47" spans="1:7">
      <c r="A47" s="258"/>
      <c r="B47" s="8" t="s">
        <v>12</v>
      </c>
      <c r="C47" s="8" t="s">
        <v>13</v>
      </c>
      <c r="D47" s="4">
        <v>3.2282367529441669</v>
      </c>
      <c r="E47" s="4">
        <v>3.1769410081659921</v>
      </c>
      <c r="F47" s="4">
        <v>3.0420868148395721</v>
      </c>
      <c r="G47" s="21">
        <v>3.003127855940356</v>
      </c>
    </row>
    <row r="48" spans="1:7">
      <c r="A48" s="258"/>
      <c r="B48" s="8" t="s">
        <v>14</v>
      </c>
      <c r="C48" s="8" t="s">
        <v>13</v>
      </c>
      <c r="D48" s="4">
        <v>4.9187499999999993</v>
      </c>
      <c r="E48" s="4">
        <v>5.0093750000000004</v>
      </c>
      <c r="F48" s="4">
        <v>4.9806249999999999</v>
      </c>
      <c r="G48" s="21">
        <v>5.069375</v>
      </c>
    </row>
    <row r="49" spans="1:7">
      <c r="A49" s="258"/>
      <c r="B49" s="8" t="s">
        <v>15</v>
      </c>
      <c r="C49" s="8" t="s">
        <v>16</v>
      </c>
      <c r="D49" s="4">
        <v>7158.2273437499998</v>
      </c>
      <c r="E49" s="4">
        <v>6970.5695312500002</v>
      </c>
      <c r="F49" s="4">
        <v>6248.7242187499996</v>
      </c>
      <c r="G49" s="21">
        <v>5228.9539062499998</v>
      </c>
    </row>
    <row r="50" spans="1:7">
      <c r="A50" s="258"/>
      <c r="B50" s="8" t="s">
        <v>17</v>
      </c>
      <c r="C50" s="8" t="s">
        <v>16</v>
      </c>
      <c r="D50" s="4">
        <v>8495.1065455739899</v>
      </c>
      <c r="E50" s="4">
        <v>7427.8193269785834</v>
      </c>
      <c r="F50" s="4">
        <v>6484.4893953572982</v>
      </c>
      <c r="G50" s="21">
        <v>5425.1664472101975</v>
      </c>
    </row>
    <row r="51" spans="1:7">
      <c r="A51" s="258"/>
      <c r="B51" s="8" t="s">
        <v>18</v>
      </c>
      <c r="C51" s="8" t="s">
        <v>16</v>
      </c>
      <c r="D51" s="4">
        <v>8516.1984374999993</v>
      </c>
      <c r="E51" s="4">
        <v>7446.09375</v>
      </c>
      <c r="F51" s="4">
        <v>6507.4968749999998</v>
      </c>
      <c r="G51" s="21">
        <v>5448.9718750000002</v>
      </c>
    </row>
    <row r="52" spans="1:7">
      <c r="A52" s="258"/>
      <c r="B52" s="8" t="s">
        <v>19</v>
      </c>
      <c r="C52" s="8" t="s">
        <v>16</v>
      </c>
      <c r="D52" s="4">
        <v>1336.8792018239899</v>
      </c>
      <c r="E52" s="4">
        <v>457.24979572858302</v>
      </c>
      <c r="F52" s="4">
        <v>235.76517660729786</v>
      </c>
      <c r="G52" s="21">
        <v>196.21254096019729</v>
      </c>
    </row>
    <row r="53" spans="1:7">
      <c r="A53" s="258"/>
      <c r="B53" s="8" t="s">
        <v>20</v>
      </c>
      <c r="C53" s="8" t="s">
        <v>16</v>
      </c>
      <c r="D53" s="4">
        <v>1357.9710937499999</v>
      </c>
      <c r="E53" s="4">
        <v>475.52421874999999</v>
      </c>
      <c r="F53" s="4">
        <v>258.77265625000001</v>
      </c>
      <c r="G53" s="21">
        <v>220.01796874999999</v>
      </c>
    </row>
    <row r="54" spans="1:7">
      <c r="A54" s="258"/>
      <c r="B54" s="8" t="s">
        <v>21</v>
      </c>
      <c r="C54" s="8" t="s">
        <v>16</v>
      </c>
      <c r="D54" s="4">
        <v>7000.55859375</v>
      </c>
      <c r="E54" s="4">
        <v>7000.55859375</v>
      </c>
      <c r="F54" s="4">
        <v>7000.55859375</v>
      </c>
      <c r="G54" s="21">
        <v>7000.55859375</v>
      </c>
    </row>
    <row r="55" spans="1:7">
      <c r="A55" s="258"/>
      <c r="B55" s="8" t="s">
        <v>22</v>
      </c>
      <c r="C55" s="8" t="s">
        <v>16</v>
      </c>
      <c r="D55" s="4">
        <v>7000.55859375</v>
      </c>
      <c r="E55" s="4">
        <v>7000.55859375</v>
      </c>
      <c r="F55" s="4">
        <v>7000.55859375</v>
      </c>
      <c r="G55" s="21">
        <v>7000.55859375</v>
      </c>
    </row>
    <row r="56" spans="1:7">
      <c r="A56" s="258"/>
      <c r="B56" s="8" t="s">
        <v>23</v>
      </c>
      <c r="C56" s="8" t="s">
        <v>16</v>
      </c>
      <c r="D56" s="4">
        <v>7000.55859375</v>
      </c>
      <c r="E56" s="4">
        <v>7000.55859375</v>
      </c>
      <c r="F56" s="4">
        <v>7000.55859375</v>
      </c>
      <c r="G56" s="21">
        <v>7000.55859375</v>
      </c>
    </row>
    <row r="57" spans="1:7">
      <c r="A57" s="258"/>
      <c r="B57" s="8" t="s">
        <v>24</v>
      </c>
      <c r="C57" s="8" t="s">
        <v>16</v>
      </c>
      <c r="D57" s="4">
        <v>0</v>
      </c>
      <c r="E57" s="4">
        <v>0</v>
      </c>
      <c r="F57" s="4">
        <v>0</v>
      </c>
      <c r="G57" s="21">
        <v>0</v>
      </c>
    </row>
    <row r="58" spans="1:7">
      <c r="A58" s="258"/>
      <c r="B58" s="8" t="s">
        <v>25</v>
      </c>
      <c r="C58" s="8" t="s">
        <v>16</v>
      </c>
      <c r="D58" s="4">
        <v>0</v>
      </c>
      <c r="E58" s="4">
        <v>0</v>
      </c>
      <c r="F58" s="4">
        <v>0</v>
      </c>
      <c r="G58" s="21">
        <v>0</v>
      </c>
    </row>
    <row r="59" spans="1:7">
      <c r="A59" s="258"/>
      <c r="B59" s="8" t="s">
        <v>26</v>
      </c>
      <c r="C59" s="8" t="s">
        <v>13</v>
      </c>
      <c r="D59" s="4">
        <v>88.188300769859296</v>
      </c>
      <c r="E59" s="4">
        <v>85.446673931091738</v>
      </c>
      <c r="F59" s="4">
        <v>78.325698244414042</v>
      </c>
      <c r="G59" s="21">
        <v>76.320971620971619</v>
      </c>
    </row>
    <row r="60" spans="1:7">
      <c r="A60" s="258"/>
      <c r="B60" s="8" t="s">
        <v>27</v>
      </c>
      <c r="C60" s="8" t="s">
        <v>13</v>
      </c>
      <c r="D60" s="4">
        <v>100</v>
      </c>
      <c r="E60" s="4">
        <v>95.8</v>
      </c>
      <c r="F60" s="4">
        <v>88.6</v>
      </c>
      <c r="G60" s="21">
        <v>92</v>
      </c>
    </row>
    <row r="61" spans="1:7">
      <c r="A61" s="258"/>
      <c r="B61" s="8" t="s">
        <v>28</v>
      </c>
      <c r="C61" s="8" t="s">
        <v>29</v>
      </c>
      <c r="D61" s="4">
        <v>63.506103298394002</v>
      </c>
      <c r="E61" s="4">
        <v>54.096879942403483</v>
      </c>
      <c r="F61" s="4">
        <v>48.787179889524523</v>
      </c>
      <c r="G61" s="21">
        <v>47.98421632996633</v>
      </c>
    </row>
    <row r="62" spans="1:7">
      <c r="A62" s="258"/>
      <c r="B62" s="8" t="s">
        <v>30</v>
      </c>
      <c r="C62" s="8" t="s">
        <v>29</v>
      </c>
      <c r="D62" s="4">
        <v>84.117599999999996</v>
      </c>
      <c r="E62" s="4">
        <v>73.430199999999999</v>
      </c>
      <c r="F62" s="4">
        <v>74.114000000000004</v>
      </c>
      <c r="G62" s="21">
        <v>80.643199999999993</v>
      </c>
    </row>
    <row r="63" spans="1:7" ht="14.5" thickBot="1">
      <c r="A63" s="259"/>
      <c r="B63" s="43" t="s">
        <v>31</v>
      </c>
      <c r="C63" s="43" t="s">
        <v>32</v>
      </c>
      <c r="D63" s="23">
        <v>0.36197835601966832</v>
      </c>
      <c r="E63" s="23">
        <v>0.10892222793971384</v>
      </c>
      <c r="F63" s="23">
        <v>4.9877621062741878E-2</v>
      </c>
      <c r="G63" s="24">
        <v>3.965912958731941E-2</v>
      </c>
    </row>
    <row r="64" spans="1:7">
      <c r="A64" s="239" t="s">
        <v>69</v>
      </c>
      <c r="B64" s="42" t="s">
        <v>6</v>
      </c>
      <c r="C64" s="42" t="s">
        <v>7</v>
      </c>
      <c r="D64" s="18">
        <v>2.6554492199999458</v>
      </c>
      <c r="E64" s="18">
        <v>1.1560527199999797</v>
      </c>
      <c r="F64" s="18">
        <v>0.73620181999999657</v>
      </c>
      <c r="G64" s="19">
        <v>0.66918779999999745</v>
      </c>
    </row>
    <row r="65" spans="1:7">
      <c r="A65" s="258"/>
      <c r="B65" s="8" t="s">
        <v>8</v>
      </c>
      <c r="C65" s="8" t="s">
        <v>9</v>
      </c>
      <c r="D65" s="4">
        <v>0.14752495666666365</v>
      </c>
      <c r="E65" s="4">
        <v>0.19393603757758426</v>
      </c>
      <c r="F65" s="4">
        <v>0.24540060666666552</v>
      </c>
      <c r="G65" s="21">
        <v>0.27037890909090806</v>
      </c>
    </row>
    <row r="66" spans="1:7">
      <c r="A66" s="258"/>
      <c r="B66" s="8" t="s">
        <v>10</v>
      </c>
      <c r="C66" s="8" t="s">
        <v>11</v>
      </c>
      <c r="D66" s="4">
        <v>6794.2792920453085</v>
      </c>
      <c r="E66" s="4">
        <v>5190.2392319373694</v>
      </c>
      <c r="F66" s="4">
        <v>4146.5277983402129</v>
      </c>
      <c r="G66" s="21">
        <v>3727.117123810614</v>
      </c>
    </row>
    <row r="67" spans="1:7">
      <c r="A67" s="258"/>
      <c r="B67" s="8" t="s">
        <v>12</v>
      </c>
      <c r="C67" s="8" t="s">
        <v>13</v>
      </c>
      <c r="D67" s="4">
        <v>4.1567552083333332</v>
      </c>
      <c r="E67" s="4">
        <v>3.2688723776223778</v>
      </c>
      <c r="F67" s="4">
        <v>2.8951562499999999</v>
      </c>
      <c r="G67" s="21">
        <v>2.5998697916666669</v>
      </c>
    </row>
    <row r="68" spans="1:7">
      <c r="A68" s="258"/>
      <c r="B68" s="8" t="s">
        <v>14</v>
      </c>
      <c r="C68" s="8" t="s">
        <v>13</v>
      </c>
      <c r="D68" s="4">
        <v>11.074999999999999</v>
      </c>
      <c r="E68" s="4">
        <v>5.8718750000000002</v>
      </c>
      <c r="F68" s="4">
        <v>5.2750000000000004</v>
      </c>
      <c r="G68" s="21">
        <v>4.5112500000000004</v>
      </c>
    </row>
    <row r="69" spans="1:7">
      <c r="A69" s="258"/>
      <c r="B69" s="8" t="s">
        <v>15</v>
      </c>
      <c r="C69" s="8" t="s">
        <v>16</v>
      </c>
      <c r="D69" s="4">
        <v>8346.0226562499993</v>
      </c>
      <c r="E69" s="4">
        <v>6794.84765625</v>
      </c>
      <c r="F69" s="4">
        <v>6043.484375</v>
      </c>
      <c r="G69" s="21">
        <v>5039.31640625</v>
      </c>
    </row>
    <row r="70" spans="1:7">
      <c r="A70" s="258"/>
      <c r="B70" s="8" t="s">
        <v>17</v>
      </c>
      <c r="C70" s="8" t="s">
        <v>16</v>
      </c>
      <c r="D70" s="4">
        <v>9555.1299843750003</v>
      </c>
      <c r="E70" s="4">
        <v>7177.0761363636366</v>
      </c>
      <c r="F70" s="4">
        <v>6226.7751171874997</v>
      </c>
      <c r="G70" s="21">
        <v>5190.9714750744051</v>
      </c>
    </row>
    <row r="71" spans="1:7">
      <c r="A71" s="258"/>
      <c r="B71" s="8" t="s">
        <v>18</v>
      </c>
      <c r="C71" s="8" t="s">
        <v>16</v>
      </c>
      <c r="D71" s="4">
        <v>9703.55859375</v>
      </c>
      <c r="E71" s="4">
        <v>7270.6078125000004</v>
      </c>
      <c r="F71" s="4">
        <v>6302.2289062500004</v>
      </c>
      <c r="G71" s="21">
        <v>5259.95</v>
      </c>
    </row>
    <row r="72" spans="1:7">
      <c r="A72" s="258"/>
      <c r="B72" s="8" t="s">
        <v>19</v>
      </c>
      <c r="C72" s="8" t="s">
        <v>16</v>
      </c>
      <c r="D72" s="4">
        <v>1209.1073281249999</v>
      </c>
      <c r="E72" s="4">
        <v>382.22848011363624</v>
      </c>
      <c r="F72" s="4">
        <v>183.29074218749992</v>
      </c>
      <c r="G72" s="21">
        <v>151.65506882440476</v>
      </c>
    </row>
    <row r="73" spans="1:7">
      <c r="A73" s="258"/>
      <c r="B73" s="8" t="s">
        <v>20</v>
      </c>
      <c r="C73" s="8" t="s">
        <v>16</v>
      </c>
      <c r="D73" s="4">
        <v>1357.5359375</v>
      </c>
      <c r="E73" s="4">
        <v>475.76015625000002</v>
      </c>
      <c r="F73" s="4">
        <v>258.74453125000002</v>
      </c>
      <c r="G73" s="21">
        <v>220.63359374999999</v>
      </c>
    </row>
    <row r="74" spans="1:7">
      <c r="A74" s="258"/>
      <c r="B74" s="8" t="s">
        <v>21</v>
      </c>
      <c r="C74" s="8" t="s">
        <v>16</v>
      </c>
      <c r="D74" s="4">
        <v>7183.2265625</v>
      </c>
      <c r="E74" s="4">
        <v>7183.1875</v>
      </c>
      <c r="F74" s="4">
        <v>7183.1875</v>
      </c>
      <c r="G74" s="21">
        <v>7183.1875</v>
      </c>
    </row>
    <row r="75" spans="1:7">
      <c r="A75" s="258"/>
      <c r="B75" s="8" t="s">
        <v>22</v>
      </c>
      <c r="C75" s="8" t="s">
        <v>16</v>
      </c>
      <c r="D75" s="4">
        <v>7183.2265625</v>
      </c>
      <c r="E75" s="4">
        <v>7183.1875</v>
      </c>
      <c r="F75" s="4">
        <v>7183.1875</v>
      </c>
      <c r="G75" s="21">
        <v>7183.1875</v>
      </c>
    </row>
    <row r="76" spans="1:7">
      <c r="A76" s="258"/>
      <c r="B76" s="8" t="s">
        <v>23</v>
      </c>
      <c r="C76" s="8" t="s">
        <v>16</v>
      </c>
      <c r="D76" s="4">
        <v>7183.2265625</v>
      </c>
      <c r="E76" s="4">
        <v>7183.1875</v>
      </c>
      <c r="F76" s="4">
        <v>7183.1875</v>
      </c>
      <c r="G76" s="21">
        <v>7183.1875</v>
      </c>
    </row>
    <row r="77" spans="1:7">
      <c r="A77" s="258"/>
      <c r="B77" s="8" t="s">
        <v>24</v>
      </c>
      <c r="C77" s="8" t="s">
        <v>16</v>
      </c>
      <c r="D77" s="4">
        <v>0</v>
      </c>
      <c r="E77" s="4">
        <v>0</v>
      </c>
      <c r="F77" s="4">
        <v>0</v>
      </c>
      <c r="G77" s="21">
        <v>0</v>
      </c>
    </row>
    <row r="78" spans="1:7">
      <c r="A78" s="258"/>
      <c r="B78" s="8" t="s">
        <v>25</v>
      </c>
      <c r="C78" s="8" t="s">
        <v>16</v>
      </c>
      <c r="D78" s="4">
        <v>0</v>
      </c>
      <c r="E78" s="4">
        <v>0</v>
      </c>
      <c r="F78" s="4">
        <v>0</v>
      </c>
      <c r="G78" s="21">
        <v>0</v>
      </c>
    </row>
    <row r="79" spans="1:7">
      <c r="A79" s="258"/>
      <c r="B79" s="8" t="s">
        <v>26</v>
      </c>
      <c r="C79" s="8" t="s">
        <v>13</v>
      </c>
      <c r="D79" s="4">
        <v>61.034333333333336</v>
      </c>
      <c r="E79" s="4">
        <v>59.35664335664336</v>
      </c>
      <c r="F79" s="4">
        <v>52.23</v>
      </c>
      <c r="G79" s="21">
        <v>50.736111111111114</v>
      </c>
    </row>
    <row r="80" spans="1:7">
      <c r="A80" s="258"/>
      <c r="B80" s="8" t="s">
        <v>27</v>
      </c>
      <c r="C80" s="8" t="s">
        <v>13</v>
      </c>
      <c r="D80" s="4">
        <v>95.2</v>
      </c>
      <c r="E80" s="4">
        <v>88</v>
      </c>
      <c r="F80" s="4">
        <v>81.2</v>
      </c>
      <c r="G80" s="21">
        <v>86.2</v>
      </c>
    </row>
    <row r="81" spans="1:7">
      <c r="A81" s="258"/>
      <c r="B81" s="8" t="s">
        <v>28</v>
      </c>
      <c r="C81" s="8" t="s">
        <v>29</v>
      </c>
      <c r="D81" s="4">
        <v>37.555790666666667</v>
      </c>
      <c r="E81" s="4">
        <v>15.894593006993006</v>
      </c>
      <c r="F81" s="4">
        <v>7.1189799999999996</v>
      </c>
      <c r="G81" s="21">
        <v>5.676655158730159</v>
      </c>
    </row>
    <row r="82" spans="1:7">
      <c r="A82" s="258"/>
      <c r="B82" s="8" t="s">
        <v>30</v>
      </c>
      <c r="C82" s="8" t="s">
        <v>29</v>
      </c>
      <c r="D82" s="4">
        <v>61.575200000000002</v>
      </c>
      <c r="E82" s="4">
        <v>40.2224</v>
      </c>
      <c r="F82" s="4">
        <v>12.552</v>
      </c>
      <c r="G82" s="21">
        <v>9.6912000000000003</v>
      </c>
    </row>
    <row r="83" spans="1:7" ht="14.5" thickBot="1">
      <c r="A83" s="259"/>
      <c r="B83" s="43" t="s">
        <v>31</v>
      </c>
      <c r="C83" s="43" t="s">
        <v>32</v>
      </c>
      <c r="D83" s="23">
        <v>2.6970938905027896E-2</v>
      </c>
      <c r="E83" s="23">
        <v>4.0754293906668151E-3</v>
      </c>
      <c r="F83" s="23">
        <v>1.3265594694639451E-3</v>
      </c>
      <c r="G83" s="24">
        <v>9.4946835229440141E-4</v>
      </c>
    </row>
    <row r="84" spans="1:7">
      <c r="A84" s="239" t="s">
        <v>72</v>
      </c>
      <c r="B84" s="42" t="s">
        <v>6</v>
      </c>
      <c r="C84" s="42" t="s">
        <v>7</v>
      </c>
      <c r="D84" s="18">
        <v>11.365401399999973</v>
      </c>
      <c r="E84" s="18">
        <v>4.0149385799999893</v>
      </c>
      <c r="F84" s="18">
        <v>2.1885354600000255</v>
      </c>
      <c r="G84" s="19">
        <v>1.9095996200000003</v>
      </c>
    </row>
    <row r="85" spans="1:7">
      <c r="A85" s="258"/>
      <c r="B85" s="8" t="s">
        <v>8</v>
      </c>
      <c r="C85" s="8" t="s">
        <v>9</v>
      </c>
      <c r="D85" s="4">
        <v>0.63141118888888736</v>
      </c>
      <c r="E85" s="4">
        <v>0.67353440362355121</v>
      </c>
      <c r="F85" s="4">
        <v>0.72951182000000847</v>
      </c>
      <c r="G85" s="21">
        <v>0.77155540202020212</v>
      </c>
    </row>
    <row r="86" spans="1:7">
      <c r="A86" s="258"/>
      <c r="B86" s="8" t="s">
        <v>10</v>
      </c>
      <c r="C86" s="8" t="s">
        <v>11</v>
      </c>
      <c r="D86" s="4">
        <v>1585.1222209455739</v>
      </c>
      <c r="E86" s="4">
        <v>1494.2281858644735</v>
      </c>
      <c r="F86" s="4">
        <v>1386.5325240937841</v>
      </c>
      <c r="G86" s="21">
        <v>1354.0678799021309</v>
      </c>
    </row>
    <row r="87" spans="1:7">
      <c r="A87" s="258"/>
      <c r="B87" s="8" t="s">
        <v>12</v>
      </c>
      <c r="C87" s="8" t="s">
        <v>13</v>
      </c>
      <c r="D87" s="4">
        <v>3.3189319852163384</v>
      </c>
      <c r="E87" s="4">
        <v>3.0889107951663415</v>
      </c>
      <c r="F87" s="4">
        <v>3.036244751082251</v>
      </c>
      <c r="G87" s="21">
        <v>2.8867728758169937</v>
      </c>
    </row>
    <row r="88" spans="1:7">
      <c r="A88" s="258"/>
      <c r="B88" s="8" t="s">
        <v>14</v>
      </c>
      <c r="C88" s="8" t="s">
        <v>13</v>
      </c>
      <c r="D88" s="4">
        <v>5.1243749999999997</v>
      </c>
      <c r="E88" s="4">
        <v>5.07</v>
      </c>
      <c r="F88" s="4">
        <v>5.2700000000000005</v>
      </c>
      <c r="G88" s="21">
        <v>4.1487499999999997</v>
      </c>
    </row>
    <row r="89" spans="1:7">
      <c r="A89" s="258"/>
      <c r="B89" s="8" t="s">
        <v>15</v>
      </c>
      <c r="C89" s="8" t="s">
        <v>16</v>
      </c>
      <c r="D89" s="4">
        <v>8461.7890625</v>
      </c>
      <c r="E89" s="4">
        <v>6996.21875</v>
      </c>
      <c r="F89" s="4">
        <v>6267.16015625</v>
      </c>
      <c r="G89" s="21">
        <v>5237.2054687500004</v>
      </c>
    </row>
    <row r="90" spans="1:7">
      <c r="A90" s="258"/>
      <c r="B90" s="8" t="s">
        <v>17</v>
      </c>
      <c r="C90" s="8" t="s">
        <v>16</v>
      </c>
      <c r="D90" s="4">
        <v>9783.3215834416478</v>
      </c>
      <c r="E90" s="4">
        <v>7447.0250901681975</v>
      </c>
      <c r="F90" s="4">
        <v>6498.7845106872292</v>
      </c>
      <c r="G90" s="21">
        <v>5429.7190308415029</v>
      </c>
    </row>
    <row r="91" spans="1:7">
      <c r="A91" s="258"/>
      <c r="B91" s="8" t="s">
        <v>18</v>
      </c>
      <c r="C91" s="8" t="s">
        <v>16</v>
      </c>
      <c r="D91" s="4">
        <v>9819.90234375</v>
      </c>
      <c r="E91" s="4">
        <v>7478.3148437500004</v>
      </c>
      <c r="F91" s="4">
        <v>6531.8625000000002</v>
      </c>
      <c r="G91" s="21">
        <v>5463.0773437500002</v>
      </c>
    </row>
    <row r="92" spans="1:7">
      <c r="A92" s="258"/>
      <c r="B92" s="8" t="s">
        <v>19</v>
      </c>
      <c r="C92" s="8" t="s">
        <v>16</v>
      </c>
      <c r="D92" s="4">
        <v>1321.5325209416478</v>
      </c>
      <c r="E92" s="4">
        <v>450.80634016819749</v>
      </c>
      <c r="F92" s="4">
        <v>231.62435443722933</v>
      </c>
      <c r="G92" s="21">
        <v>192.51356209150327</v>
      </c>
    </row>
    <row r="93" spans="1:7">
      <c r="A93" s="258"/>
      <c r="B93" s="8" t="s">
        <v>20</v>
      </c>
      <c r="C93" s="8" t="s">
        <v>16</v>
      </c>
      <c r="D93" s="4">
        <v>1358.11328125</v>
      </c>
      <c r="E93" s="4">
        <v>482.09609375000002</v>
      </c>
      <c r="F93" s="4">
        <v>264.70234375000001</v>
      </c>
      <c r="G93" s="21">
        <v>225.87187499999999</v>
      </c>
    </row>
    <row r="94" spans="1:7">
      <c r="A94" s="258"/>
      <c r="B94" s="8" t="s">
        <v>21</v>
      </c>
      <c r="C94" s="8" t="s">
        <v>16</v>
      </c>
      <c r="D94" s="4">
        <v>6958.71484375</v>
      </c>
      <c r="E94" s="4">
        <v>6982.83984375</v>
      </c>
      <c r="F94" s="4">
        <v>6983.02734375</v>
      </c>
      <c r="G94" s="21">
        <v>6983.02734375</v>
      </c>
    </row>
    <row r="95" spans="1:7">
      <c r="A95" s="258"/>
      <c r="B95" s="8" t="s">
        <v>22</v>
      </c>
      <c r="C95" s="8" t="s">
        <v>16</v>
      </c>
      <c r="D95" s="4">
        <v>6958.71484375</v>
      </c>
      <c r="E95" s="4">
        <v>6982.83984375</v>
      </c>
      <c r="F95" s="4">
        <v>6983.02734375</v>
      </c>
      <c r="G95" s="21">
        <v>6983.02734375</v>
      </c>
    </row>
    <row r="96" spans="1:7">
      <c r="A96" s="258"/>
      <c r="B96" s="8" t="s">
        <v>23</v>
      </c>
      <c r="C96" s="8" t="s">
        <v>16</v>
      </c>
      <c r="D96" s="4">
        <v>6958.71484375</v>
      </c>
      <c r="E96" s="4">
        <v>6982.83984375</v>
      </c>
      <c r="F96" s="4">
        <v>6983.02734375</v>
      </c>
      <c r="G96" s="21">
        <v>6983.02734375</v>
      </c>
    </row>
    <row r="97" spans="1:7">
      <c r="A97" s="258"/>
      <c r="B97" s="8" t="s">
        <v>24</v>
      </c>
      <c r="C97" s="8" t="s">
        <v>16</v>
      </c>
      <c r="D97" s="4">
        <v>0</v>
      </c>
      <c r="E97" s="4">
        <v>0</v>
      </c>
      <c r="F97" s="4">
        <v>0</v>
      </c>
      <c r="G97" s="21">
        <v>0</v>
      </c>
    </row>
    <row r="98" spans="1:7">
      <c r="A98" s="258"/>
      <c r="B98" s="8" t="s">
        <v>25</v>
      </c>
      <c r="C98" s="8" t="s">
        <v>16</v>
      </c>
      <c r="D98" s="4">
        <v>0</v>
      </c>
      <c r="E98" s="4">
        <v>0</v>
      </c>
      <c r="F98" s="4">
        <v>0</v>
      </c>
      <c r="G98" s="21">
        <v>0</v>
      </c>
    </row>
    <row r="99" spans="1:7">
      <c r="A99" s="258"/>
      <c r="B99" s="8" t="s">
        <v>26</v>
      </c>
      <c r="C99" s="8" t="s">
        <v>13</v>
      </c>
      <c r="D99" s="4">
        <v>76.382585739720284</v>
      </c>
      <c r="E99" s="4">
        <v>72.007312514472858</v>
      </c>
      <c r="F99" s="4">
        <v>67.294415584415589</v>
      </c>
      <c r="G99" s="21">
        <v>64.431808278867095</v>
      </c>
    </row>
    <row r="100" spans="1:7">
      <c r="A100" s="258"/>
      <c r="B100" s="8" t="s">
        <v>27</v>
      </c>
      <c r="C100" s="8" t="s">
        <v>13</v>
      </c>
      <c r="D100" s="4">
        <v>89.4</v>
      </c>
      <c r="E100" s="4">
        <v>85.6</v>
      </c>
      <c r="F100" s="4">
        <v>87.6</v>
      </c>
      <c r="G100" s="21">
        <v>89.8</v>
      </c>
    </row>
    <row r="101" spans="1:7">
      <c r="A101" s="258"/>
      <c r="B101" s="8" t="s">
        <v>28</v>
      </c>
      <c r="C101" s="8" t="s">
        <v>29</v>
      </c>
      <c r="D101" s="4">
        <v>54.351256851378949</v>
      </c>
      <c r="E101" s="4">
        <v>46.485944693653259</v>
      </c>
      <c r="F101" s="4">
        <v>36.949138978354981</v>
      </c>
      <c r="G101" s="21">
        <v>28.644792374727668</v>
      </c>
    </row>
    <row r="102" spans="1:7">
      <c r="A102" s="258"/>
      <c r="B102" s="8" t="s">
        <v>30</v>
      </c>
      <c r="C102" s="8" t="s">
        <v>29</v>
      </c>
      <c r="D102" s="4">
        <v>70.065200000000004</v>
      </c>
      <c r="E102" s="4">
        <v>67.573399999999992</v>
      </c>
      <c r="F102" s="4">
        <v>65.447000000000003</v>
      </c>
      <c r="G102" s="21">
        <v>64.160799999999995</v>
      </c>
    </row>
    <row r="103" spans="1:7" ht="14.5" thickBot="1">
      <c r="A103" s="259"/>
      <c r="B103" s="43" t="s">
        <v>31</v>
      </c>
      <c r="C103" s="43" t="s">
        <v>32</v>
      </c>
      <c r="D103" s="23">
        <v>0.17108348312137142</v>
      </c>
      <c r="E103" s="23">
        <v>5.2408791894761261E-2</v>
      </c>
      <c r="F103" s="23">
        <v>2.3122442425969513E-2</v>
      </c>
      <c r="G103" s="24">
        <v>1.4751200382652823E-2</v>
      </c>
    </row>
    <row r="104" spans="1:7">
      <c r="A104" s="239" t="s">
        <v>73</v>
      </c>
      <c r="B104" s="110" t="s">
        <v>6</v>
      </c>
      <c r="C104" s="110" t="s">
        <v>7</v>
      </c>
      <c r="D104" s="111">
        <v>129.64294304000001</v>
      </c>
      <c r="E104" s="111">
        <v>104.28744688000006</v>
      </c>
      <c r="F104" s="111">
        <v>21.026386680000041</v>
      </c>
      <c r="G104" s="112">
        <v>17.907114120000006</v>
      </c>
    </row>
    <row r="105" spans="1:7">
      <c r="A105" s="258"/>
      <c r="B105" s="109" t="s">
        <v>8</v>
      </c>
      <c r="C105" s="109" t="s">
        <v>9</v>
      </c>
      <c r="D105" s="108">
        <v>7.2023857244444445</v>
      </c>
      <c r="E105" s="108">
        <v>17.494958376111402</v>
      </c>
      <c r="F105" s="108">
        <v>7.0087955600000136</v>
      </c>
      <c r="G105" s="113">
        <v>7.235197624242427</v>
      </c>
    </row>
    <row r="106" spans="1:7">
      <c r="A106" s="258"/>
      <c r="B106" s="109" t="s">
        <v>10</v>
      </c>
      <c r="C106" s="109" t="s">
        <v>11</v>
      </c>
      <c r="D106" s="108">
        <v>139.15200077465263</v>
      </c>
      <c r="E106" s="108">
        <v>61.032265165352818</v>
      </c>
      <c r="F106" s="108">
        <v>142.70101851620879</v>
      </c>
      <c r="G106" s="113">
        <v>138.2530228567455</v>
      </c>
    </row>
    <row r="107" spans="1:7">
      <c r="A107" s="258"/>
      <c r="B107" s="109" t="s">
        <v>12</v>
      </c>
      <c r="C107" s="109" t="s">
        <v>13</v>
      </c>
      <c r="D107" s="108">
        <v>2.9285179846636682</v>
      </c>
      <c r="E107" s="108">
        <v>2.5551077290556461</v>
      </c>
      <c r="F107" s="108">
        <v>2.8717514964335566</v>
      </c>
      <c r="G107" s="113">
        <v>2.9125777724252622</v>
      </c>
    </row>
    <row r="108" spans="1:7">
      <c r="A108" s="258"/>
      <c r="B108" s="109" t="s">
        <v>14</v>
      </c>
      <c r="C108" s="109" t="s">
        <v>13</v>
      </c>
      <c r="D108" s="108">
        <v>7.4593749999999996</v>
      </c>
      <c r="E108" s="108">
        <v>5.538125</v>
      </c>
      <c r="F108" s="108">
        <v>6.609375</v>
      </c>
      <c r="G108" s="113">
        <v>6.3243749999999999</v>
      </c>
    </row>
    <row r="109" spans="1:7">
      <c r="A109" s="258"/>
      <c r="B109" s="109" t="s">
        <v>15</v>
      </c>
      <c r="C109" s="109" t="s">
        <v>16</v>
      </c>
      <c r="D109" s="108">
        <v>8794.3468749999993</v>
      </c>
      <c r="E109" s="108">
        <v>789.34453125000005</v>
      </c>
      <c r="F109" s="108">
        <v>4609.4281250000004</v>
      </c>
      <c r="G109" s="113">
        <v>5758.59765625</v>
      </c>
    </row>
    <row r="110" spans="1:7">
      <c r="A110" s="258"/>
      <c r="B110" s="109" t="s">
        <v>17</v>
      </c>
      <c r="C110" s="109" t="s">
        <v>16</v>
      </c>
      <c r="D110" s="108">
        <v>8796.4179294210808</v>
      </c>
      <c r="E110" s="108">
        <v>854.48405274092545</v>
      </c>
      <c r="F110" s="108">
        <v>4611.3256318480226</v>
      </c>
      <c r="G110" s="113">
        <v>5758.8912707188838</v>
      </c>
    </row>
    <row r="111" spans="1:7">
      <c r="A111" s="258"/>
      <c r="B111" s="109" t="s">
        <v>18</v>
      </c>
      <c r="C111" s="109" t="s">
        <v>16</v>
      </c>
      <c r="D111" s="108">
        <v>8801.2523437500004</v>
      </c>
      <c r="E111" s="108">
        <v>904.49531249999995</v>
      </c>
      <c r="F111" s="108">
        <v>4613.7101562500002</v>
      </c>
      <c r="G111" s="113">
        <v>5762.0234375</v>
      </c>
    </row>
    <row r="112" spans="1:7">
      <c r="A112" s="258"/>
      <c r="B112" s="109" t="s">
        <v>19</v>
      </c>
      <c r="C112" s="109" t="s">
        <v>16</v>
      </c>
      <c r="D112" s="108">
        <v>2.0710544210814987</v>
      </c>
      <c r="E112" s="108">
        <v>65.139521490925446</v>
      </c>
      <c r="F112" s="108">
        <v>1.8975068480227493</v>
      </c>
      <c r="G112" s="113">
        <v>0.29361446888360659</v>
      </c>
    </row>
    <row r="113" spans="1:7">
      <c r="A113" s="258"/>
      <c r="B113" s="109" t="s">
        <v>20</v>
      </c>
      <c r="C113" s="109" t="s">
        <v>16</v>
      </c>
      <c r="D113" s="108">
        <v>6.9054687499999998</v>
      </c>
      <c r="E113" s="108">
        <v>115.15078124999999</v>
      </c>
      <c r="F113" s="108">
        <v>4.2820312500000002</v>
      </c>
      <c r="G113" s="113">
        <v>3.42578125</v>
      </c>
    </row>
    <row r="114" spans="1:7">
      <c r="A114" s="258"/>
      <c r="B114" s="109" t="s">
        <v>21</v>
      </c>
      <c r="C114" s="109" t="s">
        <v>16</v>
      </c>
      <c r="D114" s="108">
        <v>2536.734375</v>
      </c>
      <c r="E114" s="108">
        <v>2457.11328125</v>
      </c>
      <c r="F114" s="108">
        <v>3352.8039062500002</v>
      </c>
      <c r="G114" s="113">
        <v>3336.20703125</v>
      </c>
    </row>
    <row r="115" spans="1:7">
      <c r="A115" s="258"/>
      <c r="B115" s="109" t="s">
        <v>22</v>
      </c>
      <c r="C115" s="109" t="s">
        <v>16</v>
      </c>
      <c r="D115" s="108">
        <v>2636.4457791043415</v>
      </c>
      <c r="E115" s="108">
        <v>2556.6269332542779</v>
      </c>
      <c r="F115" s="108">
        <v>3431.561174798012</v>
      </c>
      <c r="G115" s="113">
        <v>3434.1548959296324</v>
      </c>
    </row>
    <row r="116" spans="1:7">
      <c r="A116" s="258"/>
      <c r="B116" s="109" t="s">
        <v>23</v>
      </c>
      <c r="C116" s="109" t="s">
        <v>16</v>
      </c>
      <c r="D116" s="108">
        <v>2636.734375</v>
      </c>
      <c r="E116" s="108">
        <v>2557.11328125</v>
      </c>
      <c r="F116" s="108">
        <v>3432.9164062499999</v>
      </c>
      <c r="G116" s="113">
        <v>3436.20703125</v>
      </c>
    </row>
    <row r="117" spans="1:7">
      <c r="A117" s="258"/>
      <c r="B117" s="109" t="s">
        <v>24</v>
      </c>
      <c r="C117" s="109" t="s">
        <v>16</v>
      </c>
      <c r="D117" s="108">
        <v>99.71140410434154</v>
      </c>
      <c r="E117" s="108">
        <v>99.513652004277816</v>
      </c>
      <c r="F117" s="108">
        <v>78.757268548012149</v>
      </c>
      <c r="G117" s="113">
        <v>97.947864679632588</v>
      </c>
    </row>
    <row r="118" spans="1:7">
      <c r="A118" s="258"/>
      <c r="B118" s="109" t="s">
        <v>25</v>
      </c>
      <c r="C118" s="109" t="s">
        <v>16</v>
      </c>
      <c r="D118" s="108">
        <v>100</v>
      </c>
      <c r="E118" s="108">
        <v>100</v>
      </c>
      <c r="F118" s="108">
        <v>80.112499999999997</v>
      </c>
      <c r="G118" s="113">
        <v>100</v>
      </c>
    </row>
    <row r="119" spans="1:7">
      <c r="A119" s="258"/>
      <c r="B119" s="109" t="s">
        <v>26</v>
      </c>
      <c r="C119" s="109" t="s">
        <v>13</v>
      </c>
      <c r="D119" s="108">
        <v>51.573397789783215</v>
      </c>
      <c r="E119" s="108">
        <v>28.673470385355035</v>
      </c>
      <c r="F119" s="108">
        <v>55.518235914612553</v>
      </c>
      <c r="G119" s="113">
        <v>47.136619924830924</v>
      </c>
    </row>
    <row r="120" spans="1:7">
      <c r="A120" s="258"/>
      <c r="B120" s="109" t="s">
        <v>27</v>
      </c>
      <c r="C120" s="109" t="s">
        <v>13</v>
      </c>
      <c r="D120" s="108">
        <v>100</v>
      </c>
      <c r="E120" s="108">
        <v>96.4</v>
      </c>
      <c r="F120" s="108">
        <v>100</v>
      </c>
      <c r="G120" s="113">
        <v>100</v>
      </c>
    </row>
    <row r="121" spans="1:7">
      <c r="A121" s="258"/>
      <c r="B121" s="109" t="s">
        <v>28</v>
      </c>
      <c r="C121" s="109" t="s">
        <v>29</v>
      </c>
      <c r="D121" s="108">
        <v>54.191935781161931</v>
      </c>
      <c r="E121" s="108">
        <v>25.234670730160708</v>
      </c>
      <c r="F121" s="108">
        <v>49.018828437324842</v>
      </c>
      <c r="G121" s="113">
        <v>51.106666983889845</v>
      </c>
    </row>
    <row r="122" spans="1:7">
      <c r="A122" s="258"/>
      <c r="B122" s="109" t="s">
        <v>30</v>
      </c>
      <c r="C122" s="109" t="s">
        <v>29</v>
      </c>
      <c r="D122" s="108">
        <v>131.83879999999999</v>
      </c>
      <c r="E122" s="108">
        <v>75.679599999999994</v>
      </c>
      <c r="F122" s="108">
        <v>113.41499999999999</v>
      </c>
      <c r="G122" s="113">
        <v>130.23859999999999</v>
      </c>
    </row>
    <row r="123" spans="1:7" ht="14.5" thickBot="1">
      <c r="A123" s="259"/>
      <c r="B123" s="114" t="s">
        <v>31</v>
      </c>
      <c r="C123" s="114" t="s">
        <v>32</v>
      </c>
      <c r="D123" s="115">
        <v>1.9516425789224356</v>
      </c>
      <c r="E123" s="115">
        <v>0.67668840628450855</v>
      </c>
      <c r="F123" s="115">
        <v>0.28890218853077604</v>
      </c>
      <c r="G123" s="116">
        <v>0.25867772885347889</v>
      </c>
    </row>
    <row r="124" spans="1:7">
      <c r="A124" s="239" t="s">
        <v>76</v>
      </c>
      <c r="B124" s="148" t="s">
        <v>6</v>
      </c>
      <c r="C124" s="148" t="s">
        <v>7</v>
      </c>
      <c r="D124" s="149">
        <v>123.91108118000011</v>
      </c>
      <c r="E124" s="149">
        <v>41.366358859999949</v>
      </c>
      <c r="F124" s="149">
        <v>20.672654580000017</v>
      </c>
      <c r="G124" s="150">
        <v>18.618729460000033</v>
      </c>
    </row>
    <row r="125" spans="1:7">
      <c r="A125" s="258"/>
      <c r="B125" s="136" t="s">
        <v>8</v>
      </c>
      <c r="C125" s="136" t="s">
        <v>9</v>
      </c>
      <c r="D125" s="135">
        <v>6.8839489544444508</v>
      </c>
      <c r="E125" s="135">
        <v>6.939499892635455</v>
      </c>
      <c r="F125" s="135">
        <v>6.8908848600000052</v>
      </c>
      <c r="G125" s="151">
        <v>7.5227189737373861</v>
      </c>
    </row>
    <row r="126" spans="1:7">
      <c r="A126" s="258"/>
      <c r="B126" s="136" t="s">
        <v>10</v>
      </c>
      <c r="C126" s="136" t="s">
        <v>11</v>
      </c>
      <c r="D126" s="135">
        <v>145.44177386551641</v>
      </c>
      <c r="E126" s="135">
        <v>144.2304704670911</v>
      </c>
      <c r="F126" s="135">
        <v>145.25546774818295</v>
      </c>
      <c r="G126" s="151">
        <v>133.08300893039819</v>
      </c>
    </row>
    <row r="127" spans="1:7">
      <c r="A127" s="258"/>
      <c r="B127" s="136" t="s">
        <v>12</v>
      </c>
      <c r="C127" s="136" t="s">
        <v>13</v>
      </c>
      <c r="D127" s="135">
        <v>2.8464731227632867</v>
      </c>
      <c r="E127" s="135">
        <v>2.8666823308849785</v>
      </c>
      <c r="F127" s="135">
        <v>2.7986204974029483</v>
      </c>
      <c r="G127" s="151">
        <v>2.7790029097512656</v>
      </c>
    </row>
    <row r="128" spans="1:7">
      <c r="A128" s="258"/>
      <c r="B128" s="136" t="s">
        <v>14</v>
      </c>
      <c r="C128" s="136" t="s">
        <v>13</v>
      </c>
      <c r="D128" s="135">
        <v>6.703125</v>
      </c>
      <c r="E128" s="135">
        <v>6.2493749999999997</v>
      </c>
      <c r="F128" s="135">
        <v>5.7231249999999996</v>
      </c>
      <c r="G128" s="151">
        <v>5.8106249999999999</v>
      </c>
    </row>
    <row r="129" spans="1:7">
      <c r="A129" s="258"/>
      <c r="B129" s="136" t="s">
        <v>15</v>
      </c>
      <c r="C129" s="136" t="s">
        <v>16</v>
      </c>
      <c r="D129" s="135">
        <v>5145.9078124999996</v>
      </c>
      <c r="E129" s="135">
        <v>7494.9867187500004</v>
      </c>
      <c r="F129" s="135">
        <v>6794.4984375000004</v>
      </c>
      <c r="G129" s="151">
        <v>5780.5445312499996</v>
      </c>
    </row>
    <row r="130" spans="1:7">
      <c r="A130" s="258"/>
      <c r="B130" s="136" t="s">
        <v>17</v>
      </c>
      <c r="C130" s="136" t="s">
        <v>16</v>
      </c>
      <c r="D130" s="135">
        <v>5146.2628597005778</v>
      </c>
      <c r="E130" s="135">
        <v>7477.9530169470863</v>
      </c>
      <c r="F130" s="135">
        <v>6794.6620239443209</v>
      </c>
      <c r="G130" s="151">
        <v>5780.7015688917727</v>
      </c>
    </row>
    <row r="131" spans="1:7">
      <c r="A131" s="258"/>
      <c r="B131" s="136" t="s">
        <v>18</v>
      </c>
      <c r="C131" s="136" t="s">
        <v>16</v>
      </c>
      <c r="D131" s="135">
        <v>5150.5718749999996</v>
      </c>
      <c r="E131" s="135">
        <v>7500.0828124999998</v>
      </c>
      <c r="F131" s="135">
        <v>6798.3843749999996</v>
      </c>
      <c r="G131" s="151">
        <v>5783.0148437500002</v>
      </c>
    </row>
    <row r="132" spans="1:7">
      <c r="A132" s="258"/>
      <c r="B132" s="136" t="s">
        <v>19</v>
      </c>
      <c r="C132" s="136" t="s">
        <v>16</v>
      </c>
      <c r="D132" s="135">
        <v>0.35504720057779193</v>
      </c>
      <c r="E132" s="135">
        <v>0.47598485476864882</v>
      </c>
      <c r="F132" s="135">
        <v>0.16358644432075381</v>
      </c>
      <c r="G132" s="151">
        <v>0.15703764177251286</v>
      </c>
    </row>
    <row r="133" spans="1:7">
      <c r="A133" s="258"/>
      <c r="B133" s="136" t="s">
        <v>20</v>
      </c>
      <c r="C133" s="136" t="s">
        <v>16</v>
      </c>
      <c r="D133" s="135">
        <v>4.6640625</v>
      </c>
      <c r="E133" s="135">
        <v>5.0960937499999996</v>
      </c>
      <c r="F133" s="135">
        <v>3.8859374999999998</v>
      </c>
      <c r="G133" s="151">
        <v>2.4703124999999999</v>
      </c>
    </row>
    <row r="134" spans="1:7">
      <c r="A134" s="258"/>
      <c r="B134" s="136" t="s">
        <v>21</v>
      </c>
      <c r="C134" s="136" t="s">
        <v>16</v>
      </c>
      <c r="D134" s="135">
        <v>6434.98046875</v>
      </c>
      <c r="E134" s="135">
        <v>3388.16796875</v>
      </c>
      <c r="F134" s="135">
        <v>3388.796875</v>
      </c>
      <c r="G134" s="151">
        <v>3544.22265625</v>
      </c>
    </row>
    <row r="135" spans="1:7">
      <c r="A135" s="258"/>
      <c r="B135" s="136" t="s">
        <v>22</v>
      </c>
      <c r="C135" s="136" t="s">
        <v>16</v>
      </c>
      <c r="D135" s="135">
        <v>6454.9306757505001</v>
      </c>
      <c r="E135" s="135">
        <v>3408.0388306336263</v>
      </c>
      <c r="F135" s="135">
        <v>3408.5309567813347</v>
      </c>
      <c r="G135" s="151">
        <v>3563.9079449851888</v>
      </c>
    </row>
    <row r="136" spans="1:7">
      <c r="A136" s="258"/>
      <c r="B136" s="136" t="s">
        <v>23</v>
      </c>
      <c r="C136" s="136" t="s">
        <v>16</v>
      </c>
      <c r="D136" s="135">
        <v>6454.98046875</v>
      </c>
      <c r="E136" s="135">
        <v>3412.171875</v>
      </c>
      <c r="F136" s="135">
        <v>3412.796875</v>
      </c>
      <c r="G136" s="151">
        <v>3570.22265625</v>
      </c>
    </row>
    <row r="137" spans="1:7">
      <c r="A137" s="258"/>
      <c r="B137" s="136" t="s">
        <v>24</v>
      </c>
      <c r="C137" s="136" t="s">
        <v>16</v>
      </c>
      <c r="D137" s="135">
        <v>19.950207000499724</v>
      </c>
      <c r="E137" s="135">
        <v>19.870861883626457</v>
      </c>
      <c r="F137" s="135">
        <v>19.734081781334588</v>
      </c>
      <c r="G137" s="151">
        <v>19.685288735188625</v>
      </c>
    </row>
    <row r="138" spans="1:7">
      <c r="A138" s="258"/>
      <c r="B138" s="136" t="s">
        <v>25</v>
      </c>
      <c r="C138" s="136" t="s">
        <v>16</v>
      </c>
      <c r="D138" s="135">
        <v>20</v>
      </c>
      <c r="E138" s="135">
        <v>24.00390625</v>
      </c>
      <c r="F138" s="135">
        <v>24</v>
      </c>
      <c r="G138" s="151">
        <v>26</v>
      </c>
    </row>
    <row r="139" spans="1:7">
      <c r="A139" s="258"/>
      <c r="B139" s="136" t="s">
        <v>26</v>
      </c>
      <c r="C139" s="136" t="s">
        <v>13</v>
      </c>
      <c r="D139" s="135">
        <v>35.074609635717046</v>
      </c>
      <c r="E139" s="135">
        <v>34.467608843762264</v>
      </c>
      <c r="F139" s="135">
        <v>33.733758445392482</v>
      </c>
      <c r="G139" s="151">
        <v>33.243146257297553</v>
      </c>
    </row>
    <row r="140" spans="1:7">
      <c r="A140" s="258"/>
      <c r="B140" s="136" t="s">
        <v>27</v>
      </c>
      <c r="C140" s="136" t="s">
        <v>13</v>
      </c>
      <c r="D140" s="135">
        <v>94.4</v>
      </c>
      <c r="E140" s="135">
        <v>94.4</v>
      </c>
      <c r="F140" s="135">
        <v>95.6</v>
      </c>
      <c r="G140" s="151">
        <v>90.6</v>
      </c>
    </row>
    <row r="141" spans="1:7">
      <c r="A141" s="258"/>
      <c r="B141" s="136" t="s">
        <v>28</v>
      </c>
      <c r="C141" s="136" t="s">
        <v>29</v>
      </c>
      <c r="D141" s="135">
        <v>15.758359482642643</v>
      </c>
      <c r="E141" s="135">
        <v>15.666089073078782</v>
      </c>
      <c r="F141" s="135">
        <v>15.382081245797322</v>
      </c>
      <c r="G141" s="151">
        <v>15.802539904891685</v>
      </c>
    </row>
    <row r="142" spans="1:7">
      <c r="A142" s="258"/>
      <c r="B142" s="136" t="s">
        <v>30</v>
      </c>
      <c r="C142" s="136" t="s">
        <v>29</v>
      </c>
      <c r="D142" s="135">
        <v>40.721199999999996</v>
      </c>
      <c r="E142" s="135">
        <v>35.5364</v>
      </c>
      <c r="F142" s="135">
        <v>38.106200000000001</v>
      </c>
      <c r="G142" s="151">
        <v>39.474000000000004</v>
      </c>
    </row>
    <row r="143" spans="1:7" ht="14.5" thickBot="1">
      <c r="A143" s="259"/>
      <c r="B143" s="152" t="s">
        <v>31</v>
      </c>
      <c r="C143" s="152" t="s">
        <v>32</v>
      </c>
      <c r="D143" s="153">
        <v>0.5422357731580324</v>
      </c>
      <c r="E143" s="153">
        <v>0.1803761357512384</v>
      </c>
      <c r="F143" s="153">
        <v>8.8878672201213663E-2</v>
      </c>
      <c r="G143" s="154">
        <v>8.2346081661322165E-2</v>
      </c>
    </row>
    <row r="144" spans="1:7">
      <c r="A144" s="239" t="s">
        <v>79</v>
      </c>
      <c r="B144" s="157" t="s">
        <v>6</v>
      </c>
      <c r="C144" s="157" t="s">
        <v>7</v>
      </c>
      <c r="D144" s="158">
        <v>33.362792139999875</v>
      </c>
      <c r="E144" s="158">
        <v>9.7895707799999396</v>
      </c>
      <c r="F144" s="158">
        <v>4.8127000599999858</v>
      </c>
      <c r="G144" s="159">
        <v>4.0069722199999998</v>
      </c>
    </row>
    <row r="145" spans="1:7">
      <c r="A145" s="258"/>
      <c r="B145" s="156" t="s">
        <v>8</v>
      </c>
      <c r="C145" s="156" t="s">
        <v>9</v>
      </c>
      <c r="D145" s="155">
        <v>1.8534884522222153</v>
      </c>
      <c r="E145" s="155">
        <v>1.6422698842475993</v>
      </c>
      <c r="F145" s="155">
        <v>1.6042333533333288</v>
      </c>
      <c r="G145" s="160">
        <v>1.6189786747474748</v>
      </c>
    </row>
    <row r="146" spans="1:7">
      <c r="A146" s="258"/>
      <c r="B146" s="156" t="s">
        <v>10</v>
      </c>
      <c r="C146" s="156" t="s">
        <v>11</v>
      </c>
      <c r="D146" s="155">
        <v>586.00443383084598</v>
      </c>
      <c r="E146" s="155">
        <v>609.99775861383023</v>
      </c>
      <c r="F146" s="155">
        <v>627.07587526387147</v>
      </c>
      <c r="G146" s="160">
        <v>618.94874753386921</v>
      </c>
    </row>
    <row r="147" spans="1:7">
      <c r="A147" s="258"/>
      <c r="B147" s="156" t="s">
        <v>12</v>
      </c>
      <c r="C147" s="156" t="s">
        <v>13</v>
      </c>
      <c r="D147" s="155">
        <v>4.8313881872705302</v>
      </c>
      <c r="E147" s="155">
        <v>4.7272908535383404</v>
      </c>
      <c r="F147" s="155">
        <v>4.824051288855923</v>
      </c>
      <c r="G147" s="160">
        <v>4.4871979628558574</v>
      </c>
    </row>
    <row r="148" spans="1:7">
      <c r="A148" s="258"/>
      <c r="B148" s="156" t="s">
        <v>14</v>
      </c>
      <c r="C148" s="156" t="s">
        <v>13</v>
      </c>
      <c r="D148" s="155">
        <v>13.66375</v>
      </c>
      <c r="E148" s="155">
        <v>11.261875</v>
      </c>
      <c r="F148" s="155">
        <v>10.81875</v>
      </c>
      <c r="G148" s="160">
        <v>9.5525000000000002</v>
      </c>
    </row>
    <row r="149" spans="1:7">
      <c r="A149" s="258"/>
      <c r="B149" s="156" t="s">
        <v>15</v>
      </c>
      <c r="C149" s="156" t="s">
        <v>16</v>
      </c>
      <c r="D149" s="155">
        <v>2034.22578125</v>
      </c>
      <c r="E149" s="155">
        <v>7523.9867187500004</v>
      </c>
      <c r="F149" s="155">
        <v>6880.0874999999996</v>
      </c>
      <c r="G149" s="160">
        <v>5804.2250000000004</v>
      </c>
    </row>
    <row r="150" spans="1:7">
      <c r="A150" s="258"/>
      <c r="B150" s="156" t="s">
        <v>17</v>
      </c>
      <c r="C150" s="156" t="s">
        <v>16</v>
      </c>
      <c r="D150" s="155">
        <v>2166.0423860066667</v>
      </c>
      <c r="E150" s="155">
        <v>7524.4740848281044</v>
      </c>
      <c r="F150" s="155">
        <v>6880.3867534328738</v>
      </c>
      <c r="G150" s="160">
        <v>5804.5293620544753</v>
      </c>
    </row>
    <row r="151" spans="1:7">
      <c r="A151" s="258"/>
      <c r="B151" s="156" t="s">
        <v>18</v>
      </c>
      <c r="C151" s="156" t="s">
        <v>16</v>
      </c>
      <c r="D151" s="155">
        <v>2291.1007812500002</v>
      </c>
      <c r="E151" s="155">
        <v>7528.7882812500002</v>
      </c>
      <c r="F151" s="155">
        <v>6884.0953124999996</v>
      </c>
      <c r="G151" s="160">
        <v>5807.4343749999998</v>
      </c>
    </row>
    <row r="152" spans="1:7">
      <c r="A152" s="258"/>
      <c r="B152" s="156" t="s">
        <v>19</v>
      </c>
      <c r="C152" s="156" t="s">
        <v>16</v>
      </c>
      <c r="D152" s="155">
        <v>131.81660475666681</v>
      </c>
      <c r="E152" s="155">
        <v>0.48736607810442367</v>
      </c>
      <c r="F152" s="155">
        <v>0.29925343287395662</v>
      </c>
      <c r="G152" s="160">
        <v>0.30436205447531395</v>
      </c>
    </row>
    <row r="153" spans="1:7">
      <c r="A153" s="258"/>
      <c r="B153" s="156" t="s">
        <v>20</v>
      </c>
      <c r="C153" s="156" t="s">
        <v>16</v>
      </c>
      <c r="D153" s="155">
        <v>256.875</v>
      </c>
      <c r="E153" s="155">
        <v>4.8015625000000002</v>
      </c>
      <c r="F153" s="155">
        <v>4.0078125</v>
      </c>
      <c r="G153" s="160">
        <v>3.2093750000000001</v>
      </c>
    </row>
    <row r="154" spans="1:7">
      <c r="A154" s="258"/>
      <c r="B154" s="156" t="s">
        <v>21</v>
      </c>
      <c r="C154" s="156" t="s">
        <v>16</v>
      </c>
      <c r="D154" s="155">
        <v>2723.4296875</v>
      </c>
      <c r="E154" s="155">
        <v>2608.0578125000002</v>
      </c>
      <c r="F154" s="155">
        <v>2603.2578125</v>
      </c>
      <c r="G154" s="160">
        <v>2608.0578125000002</v>
      </c>
    </row>
    <row r="155" spans="1:7">
      <c r="A155" s="258"/>
      <c r="B155" s="156" t="s">
        <v>22</v>
      </c>
      <c r="C155" s="156" t="s">
        <v>16</v>
      </c>
      <c r="D155" s="155">
        <v>2723.4296875</v>
      </c>
      <c r="E155" s="155">
        <v>2615.1015874546279</v>
      </c>
      <c r="F155" s="155">
        <v>2614.9968692220546</v>
      </c>
      <c r="G155" s="160">
        <v>2614.8908952067668</v>
      </c>
    </row>
    <row r="156" spans="1:7">
      <c r="A156" s="258"/>
      <c r="B156" s="156" t="s">
        <v>23</v>
      </c>
      <c r="C156" s="156" t="s">
        <v>16</v>
      </c>
      <c r="D156" s="155">
        <v>2723.4296875</v>
      </c>
      <c r="E156" s="155">
        <v>2615.2578125</v>
      </c>
      <c r="F156" s="155">
        <v>2627.2578125</v>
      </c>
      <c r="G156" s="160">
        <v>2615.2578125</v>
      </c>
    </row>
    <row r="157" spans="1:7">
      <c r="A157" s="258"/>
      <c r="B157" s="156" t="s">
        <v>24</v>
      </c>
      <c r="C157" s="156" t="s">
        <v>16</v>
      </c>
      <c r="D157" s="155">
        <v>0</v>
      </c>
      <c r="E157" s="155">
        <v>7.0437749546279518</v>
      </c>
      <c r="F157" s="155">
        <v>11.739056722054556</v>
      </c>
      <c r="G157" s="160">
        <v>6.8330827067669819</v>
      </c>
    </row>
    <row r="158" spans="1:7">
      <c r="A158" s="258"/>
      <c r="B158" s="156" t="s">
        <v>25</v>
      </c>
      <c r="C158" s="156" t="s">
        <v>16</v>
      </c>
      <c r="D158" s="155">
        <v>0</v>
      </c>
      <c r="E158" s="155">
        <v>7.2</v>
      </c>
      <c r="F158" s="155">
        <v>24</v>
      </c>
      <c r="G158" s="160">
        <v>7.2</v>
      </c>
    </row>
    <row r="159" spans="1:7">
      <c r="A159" s="258"/>
      <c r="B159" s="156" t="s">
        <v>26</v>
      </c>
      <c r="C159" s="156" t="s">
        <v>13</v>
      </c>
      <c r="D159" s="155">
        <v>68.627613325202475</v>
      </c>
      <c r="E159" s="155">
        <v>65.440856733076401</v>
      </c>
      <c r="F159" s="155">
        <v>68.04343284882664</v>
      </c>
      <c r="G159" s="160">
        <v>64.087282308334949</v>
      </c>
    </row>
    <row r="160" spans="1:7">
      <c r="A160" s="258"/>
      <c r="B160" s="156" t="s">
        <v>27</v>
      </c>
      <c r="C160" s="156" t="s">
        <v>13</v>
      </c>
      <c r="D160" s="155">
        <v>99.2</v>
      </c>
      <c r="E160" s="155">
        <v>98.4</v>
      </c>
      <c r="F160" s="155">
        <v>98</v>
      </c>
      <c r="G160" s="160">
        <v>96.2</v>
      </c>
    </row>
    <row r="161" spans="1:7">
      <c r="A161" s="258"/>
      <c r="B161" s="156" t="s">
        <v>28</v>
      </c>
      <c r="C161" s="156" t="s">
        <v>29</v>
      </c>
      <c r="D161" s="155">
        <v>50.425314459339489</v>
      </c>
      <c r="E161" s="155">
        <v>54.846563961472839</v>
      </c>
      <c r="F161" s="155">
        <v>48.899240723646749</v>
      </c>
      <c r="G161" s="160">
        <v>46.810021524966267</v>
      </c>
    </row>
    <row r="162" spans="1:7">
      <c r="A162" s="258"/>
      <c r="B162" s="156" t="s">
        <v>30</v>
      </c>
      <c r="C162" s="156" t="s">
        <v>29</v>
      </c>
      <c r="D162" s="155">
        <v>105.57600000000001</v>
      </c>
      <c r="E162" s="155">
        <v>101.62819999999999</v>
      </c>
      <c r="F162" s="155">
        <v>93.458799999999997</v>
      </c>
      <c r="G162" s="160">
        <v>84.003600000000006</v>
      </c>
    </row>
    <row r="163" spans="1:7" ht="14.5" thickBot="1">
      <c r="A163" s="259"/>
      <c r="B163" s="161" t="s">
        <v>31</v>
      </c>
      <c r="C163" s="161" t="s">
        <v>32</v>
      </c>
      <c r="D163" s="162">
        <v>0.4553641520674962</v>
      </c>
      <c r="E163" s="162">
        <v>0.15157071988076656</v>
      </c>
      <c r="F163" s="162">
        <v>6.7394088563135973E-2</v>
      </c>
      <c r="G163" s="163">
        <v>5.4091997045199992E-2</v>
      </c>
    </row>
    <row r="164" spans="1:7">
      <c r="A164" s="239" t="s">
        <v>80</v>
      </c>
      <c r="B164" s="214" t="s">
        <v>6</v>
      </c>
      <c r="C164" s="214" t="s">
        <v>7</v>
      </c>
      <c r="D164" s="215">
        <v>236.45782498000045</v>
      </c>
      <c r="E164" s="215">
        <v>78.649583800000073</v>
      </c>
      <c r="F164" s="215">
        <v>39.160150320000049</v>
      </c>
      <c r="G164" s="216">
        <v>31.315540460000058</v>
      </c>
    </row>
    <row r="165" spans="1:7">
      <c r="A165" s="258"/>
      <c r="B165" s="183" t="s">
        <v>8</v>
      </c>
      <c r="C165" s="183" t="s">
        <v>9</v>
      </c>
      <c r="D165" s="182">
        <v>13.136545832222247</v>
      </c>
      <c r="E165" s="182">
        <v>13.194025130011756</v>
      </c>
      <c r="F165" s="182">
        <v>13.053383440000015</v>
      </c>
      <c r="G165" s="217">
        <v>12.652743620202044</v>
      </c>
    </row>
    <row r="166" spans="1:7">
      <c r="A166" s="258"/>
      <c r="B166" s="183" t="s">
        <v>10</v>
      </c>
      <c r="C166" s="183" t="s">
        <v>11</v>
      </c>
      <c r="D166" s="182">
        <v>76.213123900196138</v>
      </c>
      <c r="E166" s="182">
        <v>75.813659492381959</v>
      </c>
      <c r="F166" s="182">
        <v>76.683128858156834</v>
      </c>
      <c r="G166" s="217">
        <v>79.037463559850337</v>
      </c>
    </row>
    <row r="167" spans="1:7">
      <c r="A167" s="258"/>
      <c r="B167" s="183" t="s">
        <v>12</v>
      </c>
      <c r="C167" s="183" t="s">
        <v>13</v>
      </c>
      <c r="D167" s="182">
        <v>3.1329665777313229</v>
      </c>
      <c r="E167" s="182">
        <v>3.0995606690852342</v>
      </c>
      <c r="F167" s="182">
        <v>3.0827570822438921</v>
      </c>
      <c r="G167" s="217">
        <v>3.1194932807120472</v>
      </c>
    </row>
    <row r="168" spans="1:7">
      <c r="A168" s="258"/>
      <c r="B168" s="183" t="s">
        <v>14</v>
      </c>
      <c r="C168" s="183" t="s">
        <v>13</v>
      </c>
      <c r="D168" s="182">
        <v>9.5431249999999999</v>
      </c>
      <c r="E168" s="182">
        <v>7.61</v>
      </c>
      <c r="F168" s="182">
        <v>7.7793749999999999</v>
      </c>
      <c r="G168" s="217">
        <v>6.8674999999999997</v>
      </c>
    </row>
    <row r="169" spans="1:7">
      <c r="A169" s="258"/>
      <c r="B169" s="183" t="s">
        <v>15</v>
      </c>
      <c r="C169" s="183" t="s">
        <v>16</v>
      </c>
      <c r="D169" s="182">
        <v>5308.9210937500002</v>
      </c>
      <c r="E169" s="182">
        <v>2364.7046875000001</v>
      </c>
      <c r="F169" s="182">
        <v>6822.1968749999996</v>
      </c>
      <c r="G169" s="217">
        <v>5789.0203124999998</v>
      </c>
    </row>
    <row r="170" spans="1:7">
      <c r="A170" s="258"/>
      <c r="B170" s="183" t="s">
        <v>17</v>
      </c>
      <c r="C170" s="183" t="s">
        <v>16</v>
      </c>
      <c r="D170" s="182">
        <v>5301.1653952985289</v>
      </c>
      <c r="E170" s="182">
        <v>2366.9571717970312</v>
      </c>
      <c r="F170" s="182">
        <v>6824.8702917083119</v>
      </c>
      <c r="G170" s="217">
        <v>5789.9108993406207</v>
      </c>
    </row>
    <row r="171" spans="1:7">
      <c r="A171" s="258"/>
      <c r="B171" s="183" t="s">
        <v>18</v>
      </c>
      <c r="C171" s="183" t="s">
        <v>16</v>
      </c>
      <c r="D171" s="182">
        <v>5318.0398437499998</v>
      </c>
      <c r="E171" s="182">
        <v>2378.625</v>
      </c>
      <c r="F171" s="182">
        <v>6834.3921874999996</v>
      </c>
      <c r="G171" s="217">
        <v>5799.0718749999996</v>
      </c>
    </row>
    <row r="172" spans="1:7">
      <c r="A172" s="258"/>
      <c r="B172" s="183" t="s">
        <v>19</v>
      </c>
      <c r="C172" s="183" t="s">
        <v>16</v>
      </c>
      <c r="D172" s="182">
        <v>0</v>
      </c>
      <c r="E172" s="182">
        <v>4.5043212902744019</v>
      </c>
      <c r="F172" s="182">
        <v>4.9554160271132783</v>
      </c>
      <c r="G172" s="217">
        <v>3.2026756564098831</v>
      </c>
    </row>
    <row r="173" spans="1:7">
      <c r="A173" s="258"/>
      <c r="B173" s="183" t="s">
        <v>20</v>
      </c>
      <c r="C173" s="183" t="s">
        <v>16</v>
      </c>
      <c r="D173" s="182">
        <v>9.1187500000000004</v>
      </c>
      <c r="E173" s="182">
        <v>13.9203125</v>
      </c>
      <c r="F173" s="182">
        <v>12.1953125</v>
      </c>
      <c r="G173" s="217">
        <v>10.051562499999999</v>
      </c>
    </row>
    <row r="174" spans="1:7">
      <c r="A174" s="258"/>
      <c r="B174" s="183" t="s">
        <v>21</v>
      </c>
      <c r="C174" s="183" t="s">
        <v>16</v>
      </c>
      <c r="D174" s="182">
        <v>2446.3039062500002</v>
      </c>
      <c r="E174" s="182">
        <v>2717.1070312500001</v>
      </c>
      <c r="F174" s="182">
        <v>2726.76953125</v>
      </c>
      <c r="G174" s="217">
        <v>2717.1695312500001</v>
      </c>
    </row>
    <row r="175" spans="1:7">
      <c r="A175" s="258"/>
      <c r="B175" s="183" t="s">
        <v>22</v>
      </c>
      <c r="C175" s="183" t="s">
        <v>16</v>
      </c>
      <c r="D175" s="182">
        <v>2988.6946742526011</v>
      </c>
      <c r="E175" s="182">
        <v>3246.8667794185371</v>
      </c>
      <c r="F175" s="182">
        <v>3254.2952585374569</v>
      </c>
      <c r="G175" s="217">
        <v>3243.5192141698508</v>
      </c>
    </row>
    <row r="176" spans="1:7">
      <c r="A176" s="258"/>
      <c r="B176" s="183" t="s">
        <v>23</v>
      </c>
      <c r="C176" s="183" t="s">
        <v>16</v>
      </c>
      <c r="D176" s="182">
        <v>2992.58984375</v>
      </c>
      <c r="E176" s="182">
        <v>3249.1070312500001</v>
      </c>
      <c r="F176" s="182">
        <v>3258.76953125</v>
      </c>
      <c r="G176" s="217">
        <v>3249.1695312500001</v>
      </c>
    </row>
    <row r="177" spans="1:7">
      <c r="A177" s="258"/>
      <c r="B177" s="183" t="s">
        <v>24</v>
      </c>
      <c r="C177" s="183" t="s">
        <v>16</v>
      </c>
      <c r="D177" s="182">
        <v>542.39076800260113</v>
      </c>
      <c r="E177" s="182">
        <v>529.75974816853716</v>
      </c>
      <c r="F177" s="182">
        <v>527.52572728745668</v>
      </c>
      <c r="G177" s="217">
        <v>526.34968291985092</v>
      </c>
    </row>
    <row r="178" spans="1:7">
      <c r="A178" s="258"/>
      <c r="B178" s="183" t="s">
        <v>25</v>
      </c>
      <c r="C178" s="183" t="s">
        <v>16</v>
      </c>
      <c r="D178" s="182">
        <v>546.28593750000005</v>
      </c>
      <c r="E178" s="182">
        <v>532</v>
      </c>
      <c r="F178" s="182">
        <v>532</v>
      </c>
      <c r="G178" s="217">
        <v>532</v>
      </c>
    </row>
    <row r="179" spans="1:7">
      <c r="A179" s="258"/>
      <c r="B179" s="183" t="s">
        <v>26</v>
      </c>
      <c r="C179" s="183" t="s">
        <v>13</v>
      </c>
      <c r="D179" s="182">
        <v>37.626144369247321</v>
      </c>
      <c r="E179" s="182">
        <v>38.384611019307258</v>
      </c>
      <c r="F179" s="182">
        <v>38.688820842619755</v>
      </c>
      <c r="G179" s="217">
        <v>40.181748537315883</v>
      </c>
    </row>
    <row r="180" spans="1:7">
      <c r="A180" s="258"/>
      <c r="B180" s="183" t="s">
        <v>27</v>
      </c>
      <c r="C180" s="183" t="s">
        <v>13</v>
      </c>
      <c r="D180" s="182">
        <v>97</v>
      </c>
      <c r="E180" s="182">
        <v>99.6</v>
      </c>
      <c r="F180" s="182">
        <v>99.6</v>
      </c>
      <c r="G180" s="217">
        <v>96</v>
      </c>
    </row>
    <row r="181" spans="1:7">
      <c r="A181" s="258"/>
      <c r="B181" s="183" t="s">
        <v>28</v>
      </c>
      <c r="C181" s="183" t="s">
        <v>29</v>
      </c>
      <c r="D181" s="182">
        <v>33.166575557872193</v>
      </c>
      <c r="E181" s="182">
        <v>31.931097445073366</v>
      </c>
      <c r="F181" s="182">
        <v>31.940799965914582</v>
      </c>
      <c r="G181" s="217">
        <v>33.80766764987748</v>
      </c>
    </row>
    <row r="182" spans="1:7">
      <c r="A182" s="258"/>
      <c r="B182" s="183" t="s">
        <v>30</v>
      </c>
      <c r="C182" s="183" t="s">
        <v>29</v>
      </c>
      <c r="D182" s="182">
        <v>100.1718</v>
      </c>
      <c r="E182" s="182">
        <v>82.611000000000004</v>
      </c>
      <c r="F182" s="182">
        <v>79.751999999999995</v>
      </c>
      <c r="G182" s="217">
        <v>90.843199999999996</v>
      </c>
    </row>
    <row r="183" spans="1:7" ht="14.5" thickBot="1">
      <c r="A183" s="259"/>
      <c r="B183" s="218" t="s">
        <v>31</v>
      </c>
      <c r="C183" s="218" t="s">
        <v>32</v>
      </c>
      <c r="D183" s="219">
        <v>2.178335987565982</v>
      </c>
      <c r="E183" s="219">
        <v>0.69930838693334763</v>
      </c>
      <c r="F183" s="219">
        <v>0.34907591137817345</v>
      </c>
      <c r="G183" s="220">
        <v>0.29594992065060716</v>
      </c>
    </row>
    <row r="184" spans="1:7">
      <c r="A184" s="239" t="s">
        <v>83</v>
      </c>
      <c r="B184" s="221" t="s">
        <v>6</v>
      </c>
      <c r="C184" s="221" t="s">
        <v>7</v>
      </c>
      <c r="D184" s="222">
        <v>187.95412047999852</v>
      </c>
      <c r="E184" s="222">
        <v>65.34909984000042</v>
      </c>
      <c r="F184" s="222">
        <v>29.99430423999911</v>
      </c>
      <c r="G184" s="223">
        <v>24.973353440000029</v>
      </c>
    </row>
    <row r="185" spans="1:7">
      <c r="A185" s="258"/>
      <c r="B185" s="213" t="s">
        <v>8</v>
      </c>
      <c r="C185" s="213" t="s">
        <v>9</v>
      </c>
      <c r="D185" s="212">
        <v>10.44189558222214</v>
      </c>
      <c r="E185" s="212">
        <v>10.962774675390104</v>
      </c>
      <c r="F185" s="212">
        <v>9.9981014133330373</v>
      </c>
      <c r="G185" s="224">
        <v>10.090243814141425</v>
      </c>
    </row>
    <row r="186" spans="1:7">
      <c r="A186" s="258"/>
      <c r="B186" s="213" t="s">
        <v>10</v>
      </c>
      <c r="C186" s="213" t="s">
        <v>11</v>
      </c>
      <c r="D186" s="212">
        <v>95.779536506686526</v>
      </c>
      <c r="E186" s="212">
        <v>91.238087913276104</v>
      </c>
      <c r="F186" s="212">
        <v>100.02026607813829</v>
      </c>
      <c r="G186" s="224">
        <v>99.112747612462869</v>
      </c>
    </row>
    <row r="187" spans="1:7">
      <c r="A187" s="258"/>
      <c r="B187" s="213" t="s">
        <v>12</v>
      </c>
      <c r="C187" s="213" t="s">
        <v>13</v>
      </c>
      <c r="D187" s="212">
        <v>2.9925068190166808</v>
      </c>
      <c r="E187" s="212">
        <v>2.8592532719914239</v>
      </c>
      <c r="F187" s="212">
        <v>3.1080916360294117</v>
      </c>
      <c r="G187" s="224">
        <v>2.9678923384405982</v>
      </c>
    </row>
    <row r="188" spans="1:7">
      <c r="A188" s="258"/>
      <c r="B188" s="213" t="s">
        <v>14</v>
      </c>
      <c r="C188" s="213" t="s">
        <v>13</v>
      </c>
      <c r="D188" s="212">
        <v>10.69125</v>
      </c>
      <c r="E188" s="212">
        <v>10.164375</v>
      </c>
      <c r="F188" s="212">
        <v>8.4818749999999987</v>
      </c>
      <c r="G188" s="224">
        <v>8.1812500000000004</v>
      </c>
    </row>
    <row r="189" spans="1:7">
      <c r="A189" s="258"/>
      <c r="B189" s="213" t="s">
        <v>15</v>
      </c>
      <c r="C189" s="213" t="s">
        <v>16</v>
      </c>
      <c r="D189" s="212">
        <v>4805.5265625000002</v>
      </c>
      <c r="E189" s="212">
        <v>2378.3296875000001</v>
      </c>
      <c r="F189" s="212">
        <v>6994.30859375</v>
      </c>
      <c r="G189" s="224">
        <v>6204.48046875</v>
      </c>
    </row>
    <row r="190" spans="1:7">
      <c r="A190" s="258"/>
      <c r="B190" s="213" t="s">
        <v>17</v>
      </c>
      <c r="C190" s="213" t="s">
        <v>16</v>
      </c>
      <c r="D190" s="212">
        <v>4622.8997247388852</v>
      </c>
      <c r="E190" s="212">
        <v>2378.6186570924447</v>
      </c>
      <c r="F190" s="212">
        <v>6981.3314741109452</v>
      </c>
      <c r="G190" s="224">
        <v>6161.1289870286337</v>
      </c>
    </row>
    <row r="191" spans="1:7">
      <c r="A191" s="258"/>
      <c r="B191" s="213" t="s">
        <v>18</v>
      </c>
      <c r="C191" s="213" t="s">
        <v>16</v>
      </c>
      <c r="D191" s="212">
        <v>4810.04296875</v>
      </c>
      <c r="E191" s="212">
        <v>2383.2648437500002</v>
      </c>
      <c r="F191" s="212">
        <v>6997.546875</v>
      </c>
      <c r="G191" s="224">
        <v>6207.3296874999996</v>
      </c>
    </row>
    <row r="192" spans="1:7">
      <c r="A192" s="258"/>
      <c r="B192" s="213" t="s">
        <v>19</v>
      </c>
      <c r="C192" s="213" t="s">
        <v>16</v>
      </c>
      <c r="D192" s="212">
        <v>0.19618286504155549</v>
      </c>
      <c r="E192" s="212">
        <v>0.28896959244466414</v>
      </c>
      <c r="F192" s="212">
        <v>9.4358424548772746E-2</v>
      </c>
      <c r="G192" s="224">
        <v>0.13627945024618385</v>
      </c>
    </row>
    <row r="193" spans="1:7">
      <c r="A193" s="258"/>
      <c r="B193" s="213" t="s">
        <v>20</v>
      </c>
      <c r="C193" s="213" t="s">
        <v>16</v>
      </c>
      <c r="D193" s="212">
        <v>4.5164062500000002</v>
      </c>
      <c r="E193" s="212">
        <v>4.9351562500000004</v>
      </c>
      <c r="F193" s="212">
        <v>3.23828125</v>
      </c>
      <c r="G193" s="224">
        <v>2.8492187499999999</v>
      </c>
    </row>
    <row r="194" spans="1:7">
      <c r="A194" s="258"/>
      <c r="B194" s="213" t="s">
        <v>21</v>
      </c>
      <c r="C194" s="213" t="s">
        <v>16</v>
      </c>
      <c r="D194" s="212">
        <v>7064.9820312499996</v>
      </c>
      <c r="E194" s="212">
        <v>7239.5093749999996</v>
      </c>
      <c r="F194" s="212">
        <v>7201.3703125000002</v>
      </c>
      <c r="G194" s="224">
        <v>7181.0578125000002</v>
      </c>
    </row>
    <row r="195" spans="1:7">
      <c r="A195" s="258"/>
      <c r="B195" s="213" t="s">
        <v>22</v>
      </c>
      <c r="C195" s="213" t="s">
        <v>16</v>
      </c>
      <c r="D195" s="212">
        <v>7233.1971424759913</v>
      </c>
      <c r="E195" s="212">
        <v>7377.8815889433081</v>
      </c>
      <c r="F195" s="212">
        <v>7333.0385801147386</v>
      </c>
      <c r="G195" s="224">
        <v>7301.3299833023957</v>
      </c>
    </row>
    <row r="196" spans="1:7">
      <c r="A196" s="258"/>
      <c r="B196" s="213" t="s">
        <v>23</v>
      </c>
      <c r="C196" s="213" t="s">
        <v>16</v>
      </c>
      <c r="D196" s="212">
        <v>7238.5843750000004</v>
      </c>
      <c r="E196" s="212">
        <v>7395.109375</v>
      </c>
      <c r="F196" s="212">
        <v>7342.5703125</v>
      </c>
      <c r="G196" s="224">
        <v>7342.2578125</v>
      </c>
    </row>
    <row r="197" spans="1:7">
      <c r="A197" s="258"/>
      <c r="B197" s="213" t="s">
        <v>24</v>
      </c>
      <c r="C197" s="213" t="s">
        <v>16</v>
      </c>
      <c r="D197" s="212">
        <v>168.21511122599151</v>
      </c>
      <c r="E197" s="212">
        <v>138.37221394330845</v>
      </c>
      <c r="F197" s="212">
        <v>131.66826761473823</v>
      </c>
      <c r="G197" s="224">
        <v>120.27217080239606</v>
      </c>
    </row>
    <row r="198" spans="1:7">
      <c r="A198" s="258"/>
      <c r="B198" s="213" t="s">
        <v>25</v>
      </c>
      <c r="C198" s="213" t="s">
        <v>16</v>
      </c>
      <c r="D198" s="212">
        <v>173.60234374999999</v>
      </c>
      <c r="E198" s="212">
        <v>155.6</v>
      </c>
      <c r="F198" s="212">
        <v>141.19999999999999</v>
      </c>
      <c r="G198" s="224">
        <v>161.19999999999999</v>
      </c>
    </row>
    <row r="199" spans="1:7">
      <c r="A199" s="258"/>
      <c r="B199" s="213" t="s">
        <v>26</v>
      </c>
      <c r="C199" s="213" t="s">
        <v>13</v>
      </c>
      <c r="D199" s="212">
        <v>99.702250368609711</v>
      </c>
      <c r="E199" s="212">
        <v>99.334984386193042</v>
      </c>
      <c r="F199" s="212">
        <v>98.452996131319665</v>
      </c>
      <c r="G199" s="224">
        <v>98.181172718155395</v>
      </c>
    </row>
    <row r="200" spans="1:7">
      <c r="A200" s="258"/>
      <c r="B200" s="213" t="s">
        <v>27</v>
      </c>
      <c r="C200" s="213" t="s">
        <v>13</v>
      </c>
      <c r="D200" s="212">
        <v>100</v>
      </c>
      <c r="E200" s="212">
        <v>100</v>
      </c>
      <c r="F200" s="212">
        <v>100</v>
      </c>
      <c r="G200" s="224">
        <v>100</v>
      </c>
    </row>
    <row r="201" spans="1:7">
      <c r="A201" s="258"/>
      <c r="B201" s="213" t="s">
        <v>28</v>
      </c>
      <c r="C201" s="213" t="s">
        <v>29</v>
      </c>
      <c r="D201" s="212">
        <v>51.6174012731502</v>
      </c>
      <c r="E201" s="212">
        <v>48.444390187649752</v>
      </c>
      <c r="F201" s="212">
        <v>51.608525416965385</v>
      </c>
      <c r="G201" s="224">
        <v>50.973584998097941</v>
      </c>
    </row>
    <row r="202" spans="1:7">
      <c r="A202" s="258"/>
      <c r="B202" s="213" t="s">
        <v>30</v>
      </c>
      <c r="C202" s="213" t="s">
        <v>29</v>
      </c>
      <c r="D202" s="212">
        <v>62.891399999999997</v>
      </c>
      <c r="E202" s="212">
        <v>58.896000000000001</v>
      </c>
      <c r="F202" s="212">
        <v>60.392000000000003</v>
      </c>
      <c r="G202" s="224">
        <v>60.806000000000004</v>
      </c>
    </row>
    <row r="203" spans="1:7" ht="14.5" thickBot="1">
      <c r="A203" s="259"/>
      <c r="B203" s="225" t="s">
        <v>31</v>
      </c>
      <c r="C203" s="225" t="s">
        <v>32</v>
      </c>
      <c r="D203" s="226">
        <v>2.696700815555753</v>
      </c>
      <c r="E203" s="226">
        <v>0.8810104919184556</v>
      </c>
      <c r="F203" s="226">
        <v>0.43204188538629196</v>
      </c>
      <c r="G203" s="227">
        <v>0.35566155321865833</v>
      </c>
    </row>
    <row r="204" spans="1:7">
      <c r="A204" s="239" t="s">
        <v>84</v>
      </c>
      <c r="B204" s="8" t="s">
        <v>6</v>
      </c>
      <c r="C204" s="83" t="s">
        <v>7</v>
      </c>
      <c r="D204" s="82">
        <v>210.80774645999955</v>
      </c>
      <c r="E204" s="82">
        <v>59.382166380000129</v>
      </c>
      <c r="F204" s="82">
        <v>29.126608419999958</v>
      </c>
      <c r="G204" s="4">
        <v>22.180244940000101</v>
      </c>
    </row>
    <row r="205" spans="1:7">
      <c r="A205" s="258"/>
      <c r="B205" s="8" t="s">
        <v>8</v>
      </c>
      <c r="C205" s="83" t="s">
        <v>9</v>
      </c>
      <c r="D205" s="82">
        <v>11.711541469999975</v>
      </c>
      <c r="E205" s="82">
        <v>9.9617792954202535</v>
      </c>
      <c r="F205" s="82">
        <v>9.7088694733333192</v>
      </c>
      <c r="G205" s="4">
        <v>8.9617151272727682</v>
      </c>
    </row>
    <row r="206" spans="1:7">
      <c r="A206" s="258"/>
      <c r="B206" s="8" t="s">
        <v>10</v>
      </c>
      <c r="C206" s="83" t="s">
        <v>11</v>
      </c>
      <c r="D206" s="82">
        <v>86.129983376024668</v>
      </c>
      <c r="E206" s="82">
        <v>100.45835411037709</v>
      </c>
      <c r="F206" s="82">
        <v>103.15216252948764</v>
      </c>
      <c r="G206" s="4">
        <v>111.59626515062826</v>
      </c>
    </row>
    <row r="207" spans="1:7">
      <c r="A207" s="258"/>
      <c r="B207" s="8" t="s">
        <v>12</v>
      </c>
      <c r="C207" s="83" t="s">
        <v>13</v>
      </c>
      <c r="D207" s="82">
        <v>2.5725652528737353</v>
      </c>
      <c r="E207" s="82">
        <v>2.7070270076008836</v>
      </c>
      <c r="F207" s="82">
        <v>2.5742109934976223</v>
      </c>
      <c r="G207" s="4">
        <v>2.6435192166218928</v>
      </c>
    </row>
    <row r="208" spans="1:7">
      <c r="A208" s="258"/>
      <c r="B208" s="8" t="s">
        <v>14</v>
      </c>
      <c r="C208" s="83" t="s">
        <v>13</v>
      </c>
      <c r="D208" s="82">
        <v>6.4706250000000001</v>
      </c>
      <c r="E208" s="82">
        <v>6.2518750000000001</v>
      </c>
      <c r="F208" s="82">
        <v>5.4325000000000001</v>
      </c>
      <c r="G208" s="4">
        <v>6.1912500000000001</v>
      </c>
    </row>
    <row r="209" spans="1:7">
      <c r="A209" s="258"/>
      <c r="B209" s="8" t="s">
        <v>15</v>
      </c>
      <c r="C209" s="83" t="s">
        <v>16</v>
      </c>
      <c r="D209" s="82">
        <v>5089.4898437499996</v>
      </c>
      <c r="E209" s="82">
        <v>1974.753125</v>
      </c>
      <c r="F209" s="82">
        <v>6816.7828124999996</v>
      </c>
      <c r="G209" s="4">
        <v>5782.0375000000004</v>
      </c>
    </row>
    <row r="210" spans="1:7">
      <c r="A210" s="258"/>
      <c r="B210" s="8" t="s">
        <v>17</v>
      </c>
      <c r="C210" s="83" t="s">
        <v>16</v>
      </c>
      <c r="D210" s="82">
        <v>5075.5085392256597</v>
      </c>
      <c r="E210" s="82">
        <v>1976.0765351066232</v>
      </c>
      <c r="F210" s="82">
        <v>6818.5813842852558</v>
      </c>
      <c r="G210" s="4">
        <v>5783.8780844491193</v>
      </c>
    </row>
    <row r="211" spans="1:7">
      <c r="A211" s="258"/>
      <c r="B211" s="8" t="s">
        <v>18</v>
      </c>
      <c r="C211" s="83" t="s">
        <v>16</v>
      </c>
      <c r="D211" s="82">
        <v>5096.6000000000004</v>
      </c>
      <c r="E211" s="82">
        <v>1980.57421875</v>
      </c>
      <c r="F211" s="82">
        <v>6822.6078125000004</v>
      </c>
      <c r="G211" s="4">
        <v>5787.328125</v>
      </c>
    </row>
    <row r="212" spans="1:7">
      <c r="A212" s="258"/>
      <c r="B212" s="8" t="s">
        <v>19</v>
      </c>
      <c r="C212" s="83" t="s">
        <v>16</v>
      </c>
      <c r="D212" s="82">
        <v>2.2071947056358114</v>
      </c>
      <c r="E212" s="82">
        <v>1.3234101066231687</v>
      </c>
      <c r="F212" s="82">
        <v>1.7985717852559902</v>
      </c>
      <c r="G212" s="4">
        <v>1.8405844491197059</v>
      </c>
    </row>
    <row r="213" spans="1:7">
      <c r="A213" s="258"/>
      <c r="B213" s="8" t="s">
        <v>20</v>
      </c>
      <c r="C213" s="83" t="s">
        <v>16</v>
      </c>
      <c r="D213" s="82">
        <v>7.1101562500000002</v>
      </c>
      <c r="E213" s="82">
        <v>5.8210937500000002</v>
      </c>
      <c r="F213" s="82">
        <v>5.8250000000000002</v>
      </c>
      <c r="G213" s="4">
        <v>5.2906250000000004</v>
      </c>
    </row>
    <row r="214" spans="1:7">
      <c r="A214" s="258"/>
      <c r="B214" s="8" t="s">
        <v>21</v>
      </c>
      <c r="C214" s="83" t="s">
        <v>16</v>
      </c>
      <c r="D214" s="82">
        <v>3546.3984375</v>
      </c>
      <c r="E214" s="82">
        <v>3899.2734375</v>
      </c>
      <c r="F214" s="82">
        <v>3548.4375</v>
      </c>
      <c r="G214" s="4">
        <v>3561.75</v>
      </c>
    </row>
    <row r="215" spans="1:7">
      <c r="A215" s="258"/>
      <c r="B215" s="8" t="s">
        <v>22</v>
      </c>
      <c r="C215" s="83" t="s">
        <v>16</v>
      </c>
      <c r="D215" s="82">
        <v>3666.1994929677389</v>
      </c>
      <c r="E215" s="82">
        <v>3946.9820173264116</v>
      </c>
      <c r="F215" s="82">
        <v>3666.9839764743451</v>
      </c>
      <c r="G215" s="4">
        <v>3679.7881181034172</v>
      </c>
    </row>
    <row r="216" spans="1:7">
      <c r="A216" s="258"/>
      <c r="B216" s="8" t="s">
        <v>23</v>
      </c>
      <c r="C216" s="83" t="s">
        <v>16</v>
      </c>
      <c r="D216" s="82">
        <v>3666.3984375</v>
      </c>
      <c r="E216" s="82">
        <v>3947.2734375</v>
      </c>
      <c r="F216" s="82">
        <v>3668.4375</v>
      </c>
      <c r="G216" s="4">
        <v>3681.75</v>
      </c>
    </row>
    <row r="217" spans="1:7">
      <c r="A217" s="258"/>
      <c r="B217" s="8" t="s">
        <v>24</v>
      </c>
      <c r="C217" s="83" t="s">
        <v>16</v>
      </c>
      <c r="D217" s="82">
        <v>119.80105546773902</v>
      </c>
      <c r="E217" s="82">
        <v>47.708579826411551</v>
      </c>
      <c r="F217" s="82">
        <v>118.54647647434531</v>
      </c>
      <c r="G217" s="4">
        <v>118.0381181034173</v>
      </c>
    </row>
    <row r="218" spans="1:7">
      <c r="A218" s="258"/>
      <c r="B218" s="8" t="s">
        <v>25</v>
      </c>
      <c r="C218" s="83" t="s">
        <v>16</v>
      </c>
      <c r="D218" s="82">
        <v>120</v>
      </c>
      <c r="E218" s="82">
        <v>48</v>
      </c>
      <c r="F218" s="82">
        <v>120</v>
      </c>
      <c r="G218" s="4">
        <v>120</v>
      </c>
    </row>
    <row r="219" spans="1:7">
      <c r="A219" s="258"/>
      <c r="B219" s="8" t="s">
        <v>26</v>
      </c>
      <c r="C219" s="83" t="s">
        <v>13</v>
      </c>
      <c r="D219" s="82">
        <v>34.18443690095372</v>
      </c>
      <c r="E219" s="82">
        <v>32.452120261638072</v>
      </c>
      <c r="F219" s="82">
        <v>36.278049819033427</v>
      </c>
      <c r="G219" s="4">
        <v>36.708292388974243</v>
      </c>
    </row>
    <row r="220" spans="1:7">
      <c r="A220" s="258"/>
      <c r="B220" s="8" t="s">
        <v>27</v>
      </c>
      <c r="C220" s="83" t="s">
        <v>13</v>
      </c>
      <c r="D220" s="82">
        <v>95.8</v>
      </c>
      <c r="E220" s="82">
        <v>98.4</v>
      </c>
      <c r="F220" s="82">
        <v>100</v>
      </c>
      <c r="G220" s="4">
        <v>100</v>
      </c>
    </row>
    <row r="221" spans="1:7">
      <c r="A221" s="258"/>
      <c r="B221" s="8" t="s">
        <v>28</v>
      </c>
      <c r="C221" s="83" t="s">
        <v>29</v>
      </c>
      <c r="D221" s="82">
        <v>47.32691096455995</v>
      </c>
      <c r="E221" s="82">
        <v>56.735636854742886</v>
      </c>
      <c r="F221" s="82">
        <v>57.209553319553855</v>
      </c>
      <c r="G221" s="4">
        <v>59.201854541350613</v>
      </c>
    </row>
    <row r="222" spans="1:7">
      <c r="A222" s="258"/>
      <c r="B222" s="8" t="s">
        <v>30</v>
      </c>
      <c r="C222" s="83" t="s">
        <v>29</v>
      </c>
      <c r="D222" s="82">
        <v>142.3998</v>
      </c>
      <c r="E222" s="82">
        <v>143.01000000000002</v>
      </c>
      <c r="F222" s="82">
        <v>140.9786</v>
      </c>
      <c r="G222" s="4">
        <v>142.745</v>
      </c>
    </row>
    <row r="223" spans="1:7" ht="14.5" thickBot="1">
      <c r="A223" s="259"/>
      <c r="B223" s="8" t="s">
        <v>31</v>
      </c>
      <c r="C223" s="8" t="s">
        <v>32</v>
      </c>
      <c r="D223" s="4">
        <v>2.7439236643308567</v>
      </c>
      <c r="E223" s="4">
        <v>0.94002871011332445</v>
      </c>
      <c r="F223" s="4">
        <v>0.46719540766255402</v>
      </c>
      <c r="G223" s="4">
        <v>0.37030717718486067</v>
      </c>
    </row>
  </sheetData>
  <mergeCells count="12">
    <mergeCell ref="A184:A203"/>
    <mergeCell ref="A204:A223"/>
    <mergeCell ref="A84:A103"/>
    <mergeCell ref="A104:A123"/>
    <mergeCell ref="A124:A143"/>
    <mergeCell ref="A144:A163"/>
    <mergeCell ref="A164:A183"/>
    <mergeCell ref="B1:G1"/>
    <mergeCell ref="A4:A23"/>
    <mergeCell ref="A24:A43"/>
    <mergeCell ref="A44:A63"/>
    <mergeCell ref="A64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81"/>
  <sheetViews>
    <sheetView topLeftCell="A31" workbookViewId="0">
      <selection activeCell="E48" sqref="E48"/>
    </sheetView>
  </sheetViews>
  <sheetFormatPr defaultRowHeight="14"/>
  <cols>
    <col min="2" max="2" width="18" customWidth="1"/>
    <col min="3" max="3" width="32" customWidth="1"/>
    <col min="4" max="4" width="13" customWidth="1"/>
    <col min="5" max="8" width="16" customWidth="1"/>
  </cols>
  <sheetData>
    <row r="1" spans="1:8" ht="14.5" thickBot="1">
      <c r="A1" s="60" t="s">
        <v>61</v>
      </c>
      <c r="B1" s="1" t="s">
        <v>60</v>
      </c>
      <c r="C1" s="2" t="s">
        <v>33</v>
      </c>
      <c r="D1" s="2" t="s">
        <v>1</v>
      </c>
      <c r="E1" s="2" t="s">
        <v>34</v>
      </c>
      <c r="F1" s="2" t="s">
        <v>35</v>
      </c>
      <c r="G1" s="2" t="s">
        <v>36</v>
      </c>
      <c r="H1" s="3" t="s">
        <v>37</v>
      </c>
    </row>
    <row r="2" spans="1:8" ht="14.5" thickBot="1">
      <c r="A2" s="287" t="s">
        <v>65</v>
      </c>
      <c r="B2" s="20" t="s">
        <v>67</v>
      </c>
      <c r="C2" s="44" t="s">
        <v>6</v>
      </c>
      <c r="D2" s="44" t="s">
        <v>7</v>
      </c>
      <c r="E2" s="45">
        <v>18.642884420000065</v>
      </c>
      <c r="F2" s="45">
        <v>0.15015239703632072</v>
      </c>
      <c r="G2" s="45">
        <v>18.456445594369349</v>
      </c>
      <c r="H2" s="45">
        <v>18.829323245630782</v>
      </c>
    </row>
    <row r="3" spans="1:8" ht="14.5" thickBot="1">
      <c r="A3" s="287" t="s">
        <v>65</v>
      </c>
      <c r="B3" s="262" t="s">
        <v>67</v>
      </c>
      <c r="C3" s="48" t="s">
        <v>8</v>
      </c>
      <c r="D3" s="48" t="s">
        <v>9</v>
      </c>
      <c r="E3" s="49">
        <v>1.0357158011111147</v>
      </c>
      <c r="F3" s="49">
        <v>8.3417998353512261E-3</v>
      </c>
      <c r="G3" s="49">
        <v>1.0253580885760749</v>
      </c>
      <c r="H3" s="50">
        <v>1.0460735136461545</v>
      </c>
    </row>
    <row r="4" spans="1:8" ht="14.5" thickBot="1">
      <c r="A4" s="287" t="s">
        <v>65</v>
      </c>
      <c r="B4" s="262" t="s">
        <v>67</v>
      </c>
      <c r="C4" s="44" t="s">
        <v>10</v>
      </c>
      <c r="D4" s="44" t="s">
        <v>11</v>
      </c>
      <c r="E4" s="45">
        <v>965.56579109920926</v>
      </c>
      <c r="F4" s="45">
        <v>7.7543689564766742</v>
      </c>
      <c r="G4" s="45">
        <v>955.93747033784916</v>
      </c>
      <c r="H4" s="51">
        <v>975.19411186056936</v>
      </c>
    </row>
    <row r="5" spans="1:8" ht="14.5" thickBot="1">
      <c r="A5" s="287" t="s">
        <v>65</v>
      </c>
      <c r="B5" s="262" t="s">
        <v>67</v>
      </c>
      <c r="C5" s="288" t="s">
        <v>131</v>
      </c>
      <c r="D5" s="288" t="s">
        <v>13</v>
      </c>
      <c r="E5" s="289">
        <v>3.3259725110062601</v>
      </c>
      <c r="F5" s="289">
        <v>3.350725518137844E-2</v>
      </c>
      <c r="G5" s="289">
        <v>3.28436775857188</v>
      </c>
      <c r="H5" s="290">
        <v>3.3675772634406402</v>
      </c>
    </row>
    <row r="6" spans="1:8" ht="14.5" thickBot="1">
      <c r="A6" s="287" t="s">
        <v>65</v>
      </c>
      <c r="B6" s="262" t="s">
        <v>67</v>
      </c>
      <c r="C6" s="44" t="s">
        <v>14</v>
      </c>
      <c r="D6" s="44" t="s">
        <v>13</v>
      </c>
      <c r="E6" s="45">
        <v>5.97</v>
      </c>
      <c r="F6" s="45">
        <v>0.73830596850154218</v>
      </c>
      <c r="G6" s="45">
        <v>5.0532720593179796</v>
      </c>
      <c r="H6" s="51">
        <v>6.8867279406820199</v>
      </c>
    </row>
    <row r="7" spans="1:8" ht="14.5" thickBot="1">
      <c r="A7" s="287" t="s">
        <v>65</v>
      </c>
      <c r="B7" s="262" t="s">
        <v>67</v>
      </c>
      <c r="C7" s="46" t="s">
        <v>15</v>
      </c>
      <c r="D7" s="46" t="s">
        <v>16</v>
      </c>
      <c r="E7" s="47">
        <v>8355.2367187500004</v>
      </c>
      <c r="F7" s="47">
        <v>18.457956243355888</v>
      </c>
      <c r="G7" s="47">
        <v>8332.3181390038371</v>
      </c>
      <c r="H7" s="52">
        <v>8378.1552984961636</v>
      </c>
    </row>
    <row r="8" spans="1:8" ht="14.5" thickBot="1">
      <c r="A8" s="287" t="s">
        <v>65</v>
      </c>
      <c r="B8" s="262" t="s">
        <v>67</v>
      </c>
      <c r="C8" s="294" t="s">
        <v>17</v>
      </c>
      <c r="D8" s="294" t="s">
        <v>16</v>
      </c>
      <c r="E8" s="295">
        <v>9690.7258030962021</v>
      </c>
      <c r="F8" s="295">
        <v>19.34760979863799</v>
      </c>
      <c r="G8" s="295">
        <v>9666.7025725596504</v>
      </c>
      <c r="H8" s="296">
        <v>9714.7490336327537</v>
      </c>
    </row>
    <row r="9" spans="1:8" ht="14.5" thickBot="1">
      <c r="A9" s="287" t="s">
        <v>65</v>
      </c>
      <c r="B9" s="262" t="s">
        <v>67</v>
      </c>
      <c r="C9" s="46" t="s">
        <v>18</v>
      </c>
      <c r="D9" s="46" t="s">
        <v>16</v>
      </c>
      <c r="E9" s="47">
        <v>9713.1843750000007</v>
      </c>
      <c r="F9" s="47">
        <v>18.403944695604981</v>
      </c>
      <c r="G9" s="47">
        <v>9690.3328594481627</v>
      </c>
      <c r="H9" s="52">
        <v>9736.0358905518387</v>
      </c>
    </row>
    <row r="10" spans="1:8" ht="14.5" thickBot="1">
      <c r="A10" s="287" t="s">
        <v>65</v>
      </c>
      <c r="B10" s="262" t="s">
        <v>67</v>
      </c>
      <c r="C10" s="44" t="s">
        <v>19</v>
      </c>
      <c r="D10" s="44" t="s">
        <v>16</v>
      </c>
      <c r="E10" s="45">
        <v>1335.4890843462013</v>
      </c>
      <c r="F10" s="45">
        <v>1.0174817463260073</v>
      </c>
      <c r="G10" s="45">
        <v>1334.2257138930488</v>
      </c>
      <c r="H10" s="51">
        <v>1336.7524547993537</v>
      </c>
    </row>
    <row r="11" spans="1:8" ht="14.5" thickBot="1">
      <c r="A11" s="287" t="s">
        <v>65</v>
      </c>
      <c r="B11" s="262" t="s">
        <v>67</v>
      </c>
      <c r="C11" s="46" t="s">
        <v>20</v>
      </c>
      <c r="D11" s="46" t="s">
        <v>16</v>
      </c>
      <c r="E11" s="47">
        <v>1357.9476562499999</v>
      </c>
      <c r="F11" s="47">
        <v>0.70897415195797597</v>
      </c>
      <c r="G11" s="47">
        <v>1357.0673485699194</v>
      </c>
      <c r="H11" s="52">
        <v>1358.8279639300804</v>
      </c>
    </row>
    <row r="12" spans="1:8" ht="14.5" thickBot="1">
      <c r="A12" s="287" t="s">
        <v>65</v>
      </c>
      <c r="B12" s="262" t="s">
        <v>67</v>
      </c>
      <c r="C12" s="44" t="s">
        <v>21</v>
      </c>
      <c r="D12" s="44" t="s">
        <v>16</v>
      </c>
      <c r="E12" s="45">
        <v>7119.359375</v>
      </c>
      <c r="F12" s="45">
        <v>0</v>
      </c>
      <c r="G12" s="45">
        <v>7119.359375</v>
      </c>
      <c r="H12" s="51">
        <v>7119.359375</v>
      </c>
    </row>
    <row r="13" spans="1:8" ht="14.5" thickBot="1">
      <c r="A13" s="287" t="s">
        <v>65</v>
      </c>
      <c r="B13" s="262" t="s">
        <v>67</v>
      </c>
      <c r="C13" s="266" t="s">
        <v>22</v>
      </c>
      <c r="D13" s="266" t="s">
        <v>16</v>
      </c>
      <c r="E13" s="267">
        <v>7119.359375</v>
      </c>
      <c r="F13" s="267">
        <v>0</v>
      </c>
      <c r="G13" s="267">
        <v>7119.359375</v>
      </c>
      <c r="H13" s="268">
        <v>7119.359375</v>
      </c>
    </row>
    <row r="14" spans="1:8" ht="14.5" thickBot="1">
      <c r="A14" s="287" t="s">
        <v>65</v>
      </c>
      <c r="B14" s="262" t="s">
        <v>67</v>
      </c>
      <c r="C14" s="44" t="s">
        <v>23</v>
      </c>
      <c r="D14" s="44" t="s">
        <v>16</v>
      </c>
      <c r="E14" s="45">
        <v>7119.359375</v>
      </c>
      <c r="F14" s="45">
        <v>0</v>
      </c>
      <c r="G14" s="45">
        <v>7119.359375</v>
      </c>
      <c r="H14" s="51">
        <v>7119.359375</v>
      </c>
    </row>
    <row r="15" spans="1:8" ht="14.5" thickBot="1">
      <c r="A15" s="287" t="s">
        <v>65</v>
      </c>
      <c r="B15" s="262" t="s">
        <v>67</v>
      </c>
      <c r="C15" s="46" t="s">
        <v>24</v>
      </c>
      <c r="D15" s="46" t="s">
        <v>16</v>
      </c>
      <c r="E15" s="47">
        <v>0</v>
      </c>
      <c r="F15" s="47">
        <v>0</v>
      </c>
      <c r="G15" s="47">
        <v>0</v>
      </c>
      <c r="H15" s="52">
        <v>0</v>
      </c>
    </row>
    <row r="16" spans="1:8" ht="14.5" thickBot="1">
      <c r="A16" s="287" t="s">
        <v>65</v>
      </c>
      <c r="B16" s="262" t="s">
        <v>67</v>
      </c>
      <c r="C16" s="44" t="s">
        <v>25</v>
      </c>
      <c r="D16" s="44" t="s">
        <v>16</v>
      </c>
      <c r="E16" s="45">
        <v>0</v>
      </c>
      <c r="F16" s="45">
        <v>0</v>
      </c>
      <c r="G16" s="45">
        <v>0</v>
      </c>
      <c r="H16" s="51">
        <v>0</v>
      </c>
    </row>
    <row r="17" spans="1:8" ht="14.5" thickBot="1">
      <c r="A17" s="287" t="s">
        <v>65</v>
      </c>
      <c r="B17" s="262" t="s">
        <v>67</v>
      </c>
      <c r="C17" s="46" t="s">
        <v>26</v>
      </c>
      <c r="D17" s="46" t="s">
        <v>13</v>
      </c>
      <c r="E17" s="47">
        <v>89.614422887085212</v>
      </c>
      <c r="F17" s="47">
        <v>0.57667777494681738</v>
      </c>
      <c r="G17" s="47">
        <v>88.898382855420508</v>
      </c>
      <c r="H17" s="52">
        <v>90.330462918749916</v>
      </c>
    </row>
    <row r="18" spans="1:8" ht="14.5" thickBot="1">
      <c r="A18" s="287" t="s">
        <v>65</v>
      </c>
      <c r="B18" s="262" t="s">
        <v>67</v>
      </c>
      <c r="C18" s="44" t="s">
        <v>27</v>
      </c>
      <c r="D18" s="44" t="s">
        <v>13</v>
      </c>
      <c r="E18" s="45">
        <v>93.6</v>
      </c>
      <c r="F18" s="45">
        <v>3.5777087639996634</v>
      </c>
      <c r="G18" s="45">
        <v>89.157687831999993</v>
      </c>
      <c r="H18" s="51">
        <v>98.042312167999995</v>
      </c>
    </row>
    <row r="19" spans="1:8" ht="14.5" thickBot="1">
      <c r="A19" s="287" t="s">
        <v>65</v>
      </c>
      <c r="B19" s="262" t="s">
        <v>67</v>
      </c>
      <c r="C19" s="46" t="s">
        <v>28</v>
      </c>
      <c r="D19" s="46" t="s">
        <v>29</v>
      </c>
      <c r="E19" s="47">
        <v>76.927032979760781</v>
      </c>
      <c r="F19" s="47">
        <v>0.16122877110940145</v>
      </c>
      <c r="G19" s="47">
        <v>76.726841019213865</v>
      </c>
      <c r="H19" s="52">
        <v>77.127224940307698</v>
      </c>
    </row>
    <row r="20" spans="1:8" ht="14.5" thickBot="1">
      <c r="A20" s="287" t="s">
        <v>65</v>
      </c>
      <c r="B20" s="262" t="s">
        <v>67</v>
      </c>
      <c r="C20" s="44" t="s">
        <v>30</v>
      </c>
      <c r="D20" s="44" t="s">
        <v>29</v>
      </c>
      <c r="E20" s="45">
        <v>99.548599999999993</v>
      </c>
      <c r="F20" s="45">
        <v>5.8035285215117183</v>
      </c>
      <c r="G20" s="45">
        <v>92.342567572803532</v>
      </c>
      <c r="H20" s="51">
        <v>106.75463242719646</v>
      </c>
    </row>
    <row r="21" spans="1:8" ht="14.5" thickBot="1">
      <c r="A21" s="287" t="s">
        <v>65</v>
      </c>
      <c r="B21" s="262" t="s">
        <v>67</v>
      </c>
      <c r="C21" s="53" t="s">
        <v>31</v>
      </c>
      <c r="D21" s="53" t="s">
        <v>32</v>
      </c>
      <c r="E21" s="54">
        <v>0.39737857829683598</v>
      </c>
      <c r="F21" s="54">
        <v>2.4405077091102277E-3</v>
      </c>
      <c r="G21" s="54">
        <v>0.39434828773731095</v>
      </c>
      <c r="H21" s="55">
        <v>0.40040886885636101</v>
      </c>
    </row>
    <row r="22" spans="1:8" ht="14.5" thickBot="1">
      <c r="A22" s="287" t="s">
        <v>65</v>
      </c>
      <c r="B22" s="261" t="s">
        <v>3</v>
      </c>
      <c r="C22" s="56" t="s">
        <v>6</v>
      </c>
      <c r="D22" s="56" t="s">
        <v>7</v>
      </c>
      <c r="E22" s="57">
        <v>6.110726739999973</v>
      </c>
      <c r="F22" s="57">
        <v>0.26275778909875591</v>
      </c>
      <c r="G22" s="57">
        <v>5.7844698530516725</v>
      </c>
      <c r="H22" s="58">
        <v>6.4369836269482734</v>
      </c>
    </row>
    <row r="23" spans="1:8" ht="14.5" thickBot="1">
      <c r="A23" s="287" t="s">
        <v>65</v>
      </c>
      <c r="B23" s="261" t="s">
        <v>87</v>
      </c>
      <c r="C23" s="46" t="s">
        <v>8</v>
      </c>
      <c r="D23" s="46" t="s">
        <v>9</v>
      </c>
      <c r="E23" s="47">
        <v>1.0251177218587439</v>
      </c>
      <c r="F23" s="47">
        <v>4.4079481479408815E-2</v>
      </c>
      <c r="G23" s="47">
        <v>0.97038581665017154</v>
      </c>
      <c r="H23" s="52">
        <v>1.0798496270673164</v>
      </c>
    </row>
    <row r="24" spans="1:8" ht="14.5" thickBot="1">
      <c r="A24" s="287" t="s">
        <v>65</v>
      </c>
      <c r="B24" s="261" t="s">
        <v>88</v>
      </c>
      <c r="C24" s="44" t="s">
        <v>10</v>
      </c>
      <c r="D24" s="44" t="s">
        <v>11</v>
      </c>
      <c r="E24" s="45">
        <v>976.90093939835276</v>
      </c>
      <c r="F24" s="45">
        <v>40.805410033092919</v>
      </c>
      <c r="G24" s="45">
        <v>926.2343308319281</v>
      </c>
      <c r="H24" s="51">
        <v>1027.5675479647775</v>
      </c>
    </row>
    <row r="25" spans="1:8" ht="14.5" thickBot="1">
      <c r="A25" s="287" t="s">
        <v>65</v>
      </c>
      <c r="B25" s="261" t="s">
        <v>89</v>
      </c>
      <c r="C25" s="288" t="s">
        <v>12</v>
      </c>
      <c r="D25" s="288" t="s">
        <v>13</v>
      </c>
      <c r="E25" s="289">
        <v>3.2777768097897866</v>
      </c>
      <c r="F25" s="289">
        <v>0.14557788707462199</v>
      </c>
      <c r="G25" s="289">
        <v>3.0970179884875324</v>
      </c>
      <c r="H25" s="290">
        <v>3.4585356310920408</v>
      </c>
    </row>
    <row r="26" spans="1:8" ht="14.5" thickBot="1">
      <c r="A26" s="287" t="s">
        <v>65</v>
      </c>
      <c r="B26" s="261" t="s">
        <v>90</v>
      </c>
      <c r="C26" s="44" t="s">
        <v>14</v>
      </c>
      <c r="D26" s="44" t="s">
        <v>13</v>
      </c>
      <c r="E26" s="45">
        <v>6.413125</v>
      </c>
      <c r="F26" s="45">
        <v>1.8875432010784547</v>
      </c>
      <c r="G26" s="45">
        <v>4.0694305623335589</v>
      </c>
      <c r="H26" s="51">
        <v>8.7568194376664401</v>
      </c>
    </row>
    <row r="27" spans="1:8" ht="14.5" thickBot="1">
      <c r="A27" s="287" t="s">
        <v>65</v>
      </c>
      <c r="B27" s="261" t="s">
        <v>91</v>
      </c>
      <c r="C27" s="46" t="s">
        <v>15</v>
      </c>
      <c r="D27" s="46" t="s">
        <v>16</v>
      </c>
      <c r="E27" s="47">
        <v>6873.1921874999998</v>
      </c>
      <c r="F27" s="47">
        <v>14.124758395939109</v>
      </c>
      <c r="G27" s="47">
        <v>6855.6539835176854</v>
      </c>
      <c r="H27" s="52">
        <v>6890.7303914823142</v>
      </c>
    </row>
    <row r="28" spans="1:8" ht="14.5" thickBot="1">
      <c r="A28" s="287" t="s">
        <v>65</v>
      </c>
      <c r="B28" s="261" t="s">
        <v>92</v>
      </c>
      <c r="C28" s="294" t="s">
        <v>17</v>
      </c>
      <c r="D28" s="294" t="s">
        <v>16</v>
      </c>
      <c r="E28" s="295">
        <v>7332.4189823343149</v>
      </c>
      <c r="F28" s="295">
        <v>5.6762755312127755</v>
      </c>
      <c r="G28" s="295">
        <v>7325.3709553638255</v>
      </c>
      <c r="H28" s="296">
        <v>7339.4670093048044</v>
      </c>
    </row>
    <row r="29" spans="1:8" ht="14.5" thickBot="1">
      <c r="A29" s="287" t="s">
        <v>65</v>
      </c>
      <c r="B29" s="261" t="s">
        <v>93</v>
      </c>
      <c r="C29" s="46" t="s">
        <v>18</v>
      </c>
      <c r="D29" s="46" t="s">
        <v>16</v>
      </c>
      <c r="E29" s="47">
        <v>7353.0554687499998</v>
      </c>
      <c r="F29" s="47">
        <v>4.4747252310677901</v>
      </c>
      <c r="G29" s="47">
        <v>7347.4993635291248</v>
      </c>
      <c r="H29" s="52">
        <v>7358.6115739708748</v>
      </c>
    </row>
    <row r="30" spans="1:8" ht="14.5" thickBot="1">
      <c r="A30" s="287" t="s">
        <v>65</v>
      </c>
      <c r="B30" s="261" t="s">
        <v>94</v>
      </c>
      <c r="C30" s="44" t="s">
        <v>19</v>
      </c>
      <c r="D30" s="44" t="s">
        <v>16</v>
      </c>
      <c r="E30" s="45">
        <v>459.22679483431455</v>
      </c>
      <c r="F30" s="45">
        <v>8.5544597074878954</v>
      </c>
      <c r="G30" s="45">
        <v>448.6050301921988</v>
      </c>
      <c r="H30" s="51">
        <v>469.8485594764303</v>
      </c>
    </row>
    <row r="31" spans="1:8" ht="14.5" thickBot="1">
      <c r="A31" s="287" t="s">
        <v>65</v>
      </c>
      <c r="B31" s="261" t="s">
        <v>95</v>
      </c>
      <c r="C31" s="46" t="s">
        <v>20</v>
      </c>
      <c r="D31" s="46" t="s">
        <v>16</v>
      </c>
      <c r="E31" s="47">
        <v>479.86328125</v>
      </c>
      <c r="F31" s="47">
        <v>9.7063364313702483</v>
      </c>
      <c r="G31" s="47">
        <v>467.81127274957254</v>
      </c>
      <c r="H31" s="52">
        <v>491.91528975042746</v>
      </c>
    </row>
    <row r="32" spans="1:8" ht="14.5" thickBot="1">
      <c r="A32" s="287" t="s">
        <v>65</v>
      </c>
      <c r="B32" s="261" t="s">
        <v>96</v>
      </c>
      <c r="C32" s="44" t="s">
        <v>21</v>
      </c>
      <c r="D32" s="44" t="s">
        <v>16</v>
      </c>
      <c r="E32" s="45">
        <v>7119.359375</v>
      </c>
      <c r="F32" s="45">
        <v>0</v>
      </c>
      <c r="G32" s="45">
        <v>7119.359375</v>
      </c>
      <c r="H32" s="51">
        <v>7119.359375</v>
      </c>
    </row>
    <row r="33" spans="1:8" ht="14.5" thickBot="1">
      <c r="A33" s="287" t="s">
        <v>65</v>
      </c>
      <c r="B33" s="261" t="s">
        <v>97</v>
      </c>
      <c r="C33" s="266" t="s">
        <v>22</v>
      </c>
      <c r="D33" s="266" t="s">
        <v>16</v>
      </c>
      <c r="E33" s="267">
        <v>7119.359375</v>
      </c>
      <c r="F33" s="267">
        <v>0</v>
      </c>
      <c r="G33" s="267">
        <v>7119.359375</v>
      </c>
      <c r="H33" s="268">
        <v>7119.359375</v>
      </c>
    </row>
    <row r="34" spans="1:8" ht="14.5" thickBot="1">
      <c r="A34" s="287" t="s">
        <v>65</v>
      </c>
      <c r="B34" s="261" t="s">
        <v>98</v>
      </c>
      <c r="C34" s="44" t="s">
        <v>23</v>
      </c>
      <c r="D34" s="44" t="s">
        <v>16</v>
      </c>
      <c r="E34" s="45">
        <v>7119.359375</v>
      </c>
      <c r="F34" s="45">
        <v>0</v>
      </c>
      <c r="G34" s="45">
        <v>7119.359375</v>
      </c>
      <c r="H34" s="51">
        <v>7119.359375</v>
      </c>
    </row>
    <row r="35" spans="1:8" ht="14.5" thickBot="1">
      <c r="A35" s="287" t="s">
        <v>65</v>
      </c>
      <c r="B35" s="261" t="s">
        <v>99</v>
      </c>
      <c r="C35" s="46" t="s">
        <v>24</v>
      </c>
      <c r="D35" s="46" t="s">
        <v>16</v>
      </c>
      <c r="E35" s="47">
        <v>0</v>
      </c>
      <c r="F35" s="47">
        <v>0</v>
      </c>
      <c r="G35" s="47">
        <v>0</v>
      </c>
      <c r="H35" s="52">
        <v>0</v>
      </c>
    </row>
    <row r="36" spans="1:8" ht="14.5" thickBot="1">
      <c r="A36" s="287" t="s">
        <v>65</v>
      </c>
      <c r="B36" s="261" t="s">
        <v>100</v>
      </c>
      <c r="C36" s="44" t="s">
        <v>25</v>
      </c>
      <c r="D36" s="44" t="s">
        <v>16</v>
      </c>
      <c r="E36" s="45">
        <v>0</v>
      </c>
      <c r="F36" s="45">
        <v>0</v>
      </c>
      <c r="G36" s="45">
        <v>0</v>
      </c>
      <c r="H36" s="51">
        <v>0</v>
      </c>
    </row>
    <row r="37" spans="1:8" ht="14.5" thickBot="1">
      <c r="A37" s="287" t="s">
        <v>65</v>
      </c>
      <c r="B37" s="261" t="s">
        <v>101</v>
      </c>
      <c r="C37" s="46" t="s">
        <v>26</v>
      </c>
      <c r="D37" s="46" t="s">
        <v>13</v>
      </c>
      <c r="E37" s="47">
        <v>84.92910338249321</v>
      </c>
      <c r="F37" s="47">
        <v>2.0117758842710085</v>
      </c>
      <c r="G37" s="47">
        <v>82.43115369471731</v>
      </c>
      <c r="H37" s="52">
        <v>87.42705307026911</v>
      </c>
    </row>
    <row r="38" spans="1:8" ht="14.5" thickBot="1">
      <c r="A38" s="287" t="s">
        <v>65</v>
      </c>
      <c r="B38" s="261" t="s">
        <v>102</v>
      </c>
      <c r="C38" s="44" t="s">
        <v>27</v>
      </c>
      <c r="D38" s="44" t="s">
        <v>13</v>
      </c>
      <c r="E38" s="45">
        <v>93.8</v>
      </c>
      <c r="F38" s="45">
        <v>3.7013511046643495</v>
      </c>
      <c r="G38" s="45">
        <v>89.204165588953941</v>
      </c>
      <c r="H38" s="51">
        <v>98.395834411046053</v>
      </c>
    </row>
    <row r="39" spans="1:8" ht="14.5" thickBot="1">
      <c r="A39" s="287" t="s">
        <v>65</v>
      </c>
      <c r="B39" s="261" t="s">
        <v>103</v>
      </c>
      <c r="C39" s="46" t="s">
        <v>28</v>
      </c>
      <c r="D39" s="46" t="s">
        <v>29</v>
      </c>
      <c r="E39" s="47">
        <v>69.975872053708997</v>
      </c>
      <c r="F39" s="47">
        <v>1.462187323036354</v>
      </c>
      <c r="G39" s="47">
        <v>68.160326696194161</v>
      </c>
      <c r="H39" s="52">
        <v>71.791417411223833</v>
      </c>
    </row>
    <row r="40" spans="1:8" ht="14.5" thickBot="1">
      <c r="A40" s="287" t="s">
        <v>65</v>
      </c>
      <c r="B40" s="261" t="s">
        <v>104</v>
      </c>
      <c r="C40" s="44" t="s">
        <v>30</v>
      </c>
      <c r="D40" s="44" t="s">
        <v>29</v>
      </c>
      <c r="E40" s="45">
        <v>88.468199999999996</v>
      </c>
      <c r="F40" s="45">
        <v>7.9751355913238235</v>
      </c>
      <c r="G40" s="45">
        <v>78.56576125616516</v>
      </c>
      <c r="H40" s="51">
        <v>98.370638743834832</v>
      </c>
    </row>
    <row r="41" spans="1:8" ht="14.5" thickBot="1">
      <c r="A41" s="287" t="s">
        <v>65</v>
      </c>
      <c r="B41" s="261" t="s">
        <v>105</v>
      </c>
      <c r="C41" s="53" t="s">
        <v>31</v>
      </c>
      <c r="D41" s="53" t="s">
        <v>32</v>
      </c>
      <c r="E41" s="54">
        <v>0.11892980909197794</v>
      </c>
      <c r="F41" s="54">
        <v>2.1572214990955461E-3</v>
      </c>
      <c r="G41" s="54">
        <v>0.11625126482059066</v>
      </c>
      <c r="H41" s="55">
        <v>0.12160835336336522</v>
      </c>
    </row>
    <row r="42" spans="1:8" ht="14.5" thickBot="1">
      <c r="A42" s="287" t="s">
        <v>65</v>
      </c>
      <c r="B42" s="262" t="s">
        <v>4</v>
      </c>
      <c r="C42" s="56" t="s">
        <v>6</v>
      </c>
      <c r="D42" s="56" t="s">
        <v>7</v>
      </c>
      <c r="E42" s="57">
        <v>3.2246227400000178</v>
      </c>
      <c r="F42" s="57">
        <v>0.19524288021064262</v>
      </c>
      <c r="G42" s="57">
        <v>2.9821966847541233</v>
      </c>
      <c r="H42" s="58">
        <v>3.4670487952459124</v>
      </c>
    </row>
    <row r="43" spans="1:8" ht="14.5" thickBot="1">
      <c r="A43" s="287" t="s">
        <v>65</v>
      </c>
      <c r="B43" s="262" t="s">
        <v>4</v>
      </c>
      <c r="C43" s="46" t="s">
        <v>8</v>
      </c>
      <c r="D43" s="46" t="s">
        <v>9</v>
      </c>
      <c r="E43" s="47">
        <v>1.0748742466666728</v>
      </c>
      <c r="F43" s="47">
        <v>6.5080960070214161E-2</v>
      </c>
      <c r="G43" s="47">
        <v>0.99406556158470794</v>
      </c>
      <c r="H43" s="52">
        <v>1.1556829317486377</v>
      </c>
    </row>
    <row r="44" spans="1:8" ht="14.5" thickBot="1">
      <c r="A44" s="287" t="s">
        <v>65</v>
      </c>
      <c r="B44" s="262" t="s">
        <v>4</v>
      </c>
      <c r="C44" s="44" t="s">
        <v>10</v>
      </c>
      <c r="D44" s="44" t="s">
        <v>11</v>
      </c>
      <c r="E44" s="45">
        <v>932.91666389712395</v>
      </c>
      <c r="F44" s="45">
        <v>53.194614344666107</v>
      </c>
      <c r="G44" s="45">
        <v>866.86682637172396</v>
      </c>
      <c r="H44" s="51">
        <v>998.96650142252395</v>
      </c>
    </row>
    <row r="45" spans="1:8" ht="14.5" thickBot="1">
      <c r="A45" s="287" t="s">
        <v>65</v>
      </c>
      <c r="B45" s="262" t="s">
        <v>4</v>
      </c>
      <c r="C45" s="288" t="s">
        <v>12</v>
      </c>
      <c r="D45" s="288" t="s">
        <v>13</v>
      </c>
      <c r="E45" s="289">
        <v>3.1024171484622074</v>
      </c>
      <c r="F45" s="289">
        <v>8.3001775796012561E-2</v>
      </c>
      <c r="G45" s="289">
        <v>2.9993568316766601</v>
      </c>
      <c r="H45" s="290">
        <v>3.2054774652477547</v>
      </c>
    </row>
    <row r="46" spans="1:8" ht="14.5" thickBot="1">
      <c r="A46" s="287" t="s">
        <v>65</v>
      </c>
      <c r="B46" s="262" t="s">
        <v>4</v>
      </c>
      <c r="C46" s="44" t="s">
        <v>14</v>
      </c>
      <c r="D46" s="44" t="s">
        <v>13</v>
      </c>
      <c r="E46" s="45">
        <v>4.9331250000000004</v>
      </c>
      <c r="F46" s="45">
        <v>0.35677455898298011</v>
      </c>
      <c r="G46" s="45">
        <v>4.4901308746673676</v>
      </c>
      <c r="H46" s="51">
        <v>5.3761191253326333</v>
      </c>
    </row>
    <row r="47" spans="1:8" ht="14.5" thickBot="1">
      <c r="A47" s="287" t="s">
        <v>65</v>
      </c>
      <c r="B47" s="262" t="s">
        <v>4</v>
      </c>
      <c r="C47" s="46" t="s">
        <v>15</v>
      </c>
      <c r="D47" s="46" t="s">
        <v>16</v>
      </c>
      <c r="E47" s="47">
        <v>6146.8671875</v>
      </c>
      <c r="F47" s="47">
        <v>9.3129612341210883</v>
      </c>
      <c r="G47" s="47">
        <v>6135.3036188197484</v>
      </c>
      <c r="H47" s="52">
        <v>6158.4307561802516</v>
      </c>
    </row>
    <row r="48" spans="1:8" ht="14.5" thickBot="1">
      <c r="A48" s="287" t="s">
        <v>65</v>
      </c>
      <c r="B48" s="262" t="s">
        <v>4</v>
      </c>
      <c r="C48" s="294" t="s">
        <v>17</v>
      </c>
      <c r="D48" s="294" t="s">
        <v>16</v>
      </c>
      <c r="E48" s="295">
        <v>6386.7783083818831</v>
      </c>
      <c r="F48" s="295">
        <v>3.9562048182427154</v>
      </c>
      <c r="G48" s="295">
        <v>6381.866031289901</v>
      </c>
      <c r="H48" s="296">
        <v>6391.6905854738652</v>
      </c>
    </row>
    <row r="49" spans="1:8" ht="14.5" thickBot="1">
      <c r="A49" s="287" t="s">
        <v>65</v>
      </c>
      <c r="B49" s="262" t="s">
        <v>4</v>
      </c>
      <c r="C49" s="46" t="s">
        <v>18</v>
      </c>
      <c r="D49" s="46" t="s">
        <v>16</v>
      </c>
      <c r="E49" s="47">
        <v>6409.12890625</v>
      </c>
      <c r="F49" s="47">
        <v>1.712009599177464</v>
      </c>
      <c r="G49" s="47">
        <v>6407.0031655662733</v>
      </c>
      <c r="H49" s="52">
        <v>6411.2546469337267</v>
      </c>
    </row>
    <row r="50" spans="1:8" ht="14.5" thickBot="1">
      <c r="A50" s="287" t="s">
        <v>65</v>
      </c>
      <c r="B50" s="262" t="s">
        <v>4</v>
      </c>
      <c r="C50" s="44" t="s">
        <v>19</v>
      </c>
      <c r="D50" s="44" t="s">
        <v>16</v>
      </c>
      <c r="E50" s="45">
        <v>239.91112088188328</v>
      </c>
      <c r="F50" s="45">
        <v>5.6509058977775757</v>
      </c>
      <c r="G50" s="45">
        <v>232.89459447187539</v>
      </c>
      <c r="H50" s="51">
        <v>246.92764729189116</v>
      </c>
    </row>
    <row r="51" spans="1:8" ht="14.5" thickBot="1">
      <c r="A51" s="287" t="s">
        <v>65</v>
      </c>
      <c r="B51" s="262" t="s">
        <v>4</v>
      </c>
      <c r="C51" s="46" t="s">
        <v>20</v>
      </c>
      <c r="D51" s="46" t="s">
        <v>16</v>
      </c>
      <c r="E51" s="47">
        <v>262.26171875</v>
      </c>
      <c r="F51" s="47">
        <v>8.2156219911914423</v>
      </c>
      <c r="G51" s="47">
        <v>252.06067670141317</v>
      </c>
      <c r="H51" s="52">
        <v>272.46276079858683</v>
      </c>
    </row>
    <row r="52" spans="1:8" ht="14.5" thickBot="1">
      <c r="A52" s="287" t="s">
        <v>65</v>
      </c>
      <c r="B52" s="262" t="s">
        <v>4</v>
      </c>
      <c r="C52" s="44" t="s">
        <v>21</v>
      </c>
      <c r="D52" s="44" t="s">
        <v>16</v>
      </c>
      <c r="E52" s="45">
        <v>7119.359375</v>
      </c>
      <c r="F52" s="45">
        <v>0</v>
      </c>
      <c r="G52" s="45">
        <v>7119.359375</v>
      </c>
      <c r="H52" s="51">
        <v>7119.359375</v>
      </c>
    </row>
    <row r="53" spans="1:8" ht="14.5" thickBot="1">
      <c r="A53" s="287" t="s">
        <v>65</v>
      </c>
      <c r="B53" s="262" t="s">
        <v>4</v>
      </c>
      <c r="C53" s="266" t="s">
        <v>22</v>
      </c>
      <c r="D53" s="266" t="s">
        <v>16</v>
      </c>
      <c r="E53" s="267">
        <v>7119.359375</v>
      </c>
      <c r="F53" s="267">
        <v>0</v>
      </c>
      <c r="G53" s="267">
        <v>7119.359375</v>
      </c>
      <c r="H53" s="268">
        <v>7119.359375</v>
      </c>
    </row>
    <row r="54" spans="1:8" ht="14.5" thickBot="1">
      <c r="A54" s="287" t="s">
        <v>65</v>
      </c>
      <c r="B54" s="262" t="s">
        <v>4</v>
      </c>
      <c r="C54" s="44" t="s">
        <v>23</v>
      </c>
      <c r="D54" s="44" t="s">
        <v>16</v>
      </c>
      <c r="E54" s="45">
        <v>7119.359375</v>
      </c>
      <c r="F54" s="45">
        <v>0</v>
      </c>
      <c r="G54" s="45">
        <v>7119.359375</v>
      </c>
      <c r="H54" s="51">
        <v>7119.359375</v>
      </c>
    </row>
    <row r="55" spans="1:8" ht="14.5" thickBot="1">
      <c r="A55" s="287" t="s">
        <v>65</v>
      </c>
      <c r="B55" s="262" t="s">
        <v>4</v>
      </c>
      <c r="C55" s="46" t="s">
        <v>24</v>
      </c>
      <c r="D55" s="46" t="s">
        <v>16</v>
      </c>
      <c r="E55" s="47">
        <v>0</v>
      </c>
      <c r="F55" s="47">
        <v>0</v>
      </c>
      <c r="G55" s="47">
        <v>0</v>
      </c>
      <c r="H55" s="52">
        <v>0</v>
      </c>
    </row>
    <row r="56" spans="1:8" ht="14.5" thickBot="1">
      <c r="A56" s="287" t="s">
        <v>65</v>
      </c>
      <c r="B56" s="262" t="s">
        <v>4</v>
      </c>
      <c r="C56" s="44" t="s">
        <v>25</v>
      </c>
      <c r="D56" s="44" t="s">
        <v>16</v>
      </c>
      <c r="E56" s="45">
        <v>0</v>
      </c>
      <c r="F56" s="45">
        <v>0</v>
      </c>
      <c r="G56" s="45">
        <v>0</v>
      </c>
      <c r="H56" s="51">
        <v>0</v>
      </c>
    </row>
    <row r="57" spans="1:8" ht="14.5" thickBot="1">
      <c r="A57" s="287" t="s">
        <v>65</v>
      </c>
      <c r="B57" s="262" t="s">
        <v>4</v>
      </c>
      <c r="C57" s="46" t="s">
        <v>26</v>
      </c>
      <c r="D57" s="46" t="s">
        <v>13</v>
      </c>
      <c r="E57" s="47">
        <v>79.651325110689442</v>
      </c>
      <c r="F57" s="47">
        <v>3.3904711271087113</v>
      </c>
      <c r="G57" s="47">
        <v>75.441499175509122</v>
      </c>
      <c r="H57" s="52">
        <v>83.861151045869761</v>
      </c>
    </row>
    <row r="58" spans="1:8" ht="14.5" thickBot="1">
      <c r="A58" s="287" t="s">
        <v>65</v>
      </c>
      <c r="B58" s="262" t="s">
        <v>4</v>
      </c>
      <c r="C58" s="44" t="s">
        <v>27</v>
      </c>
      <c r="D58" s="44" t="s">
        <v>13</v>
      </c>
      <c r="E58" s="45">
        <v>93</v>
      </c>
      <c r="F58" s="45">
        <v>3</v>
      </c>
      <c r="G58" s="45">
        <v>89.275008005654072</v>
      </c>
      <c r="H58" s="51">
        <v>96.724991994345928</v>
      </c>
    </row>
    <row r="59" spans="1:8" ht="14.5" thickBot="1">
      <c r="A59" s="287" t="s">
        <v>65</v>
      </c>
      <c r="B59" s="262" t="s">
        <v>4</v>
      </c>
      <c r="C59" s="46" t="s">
        <v>28</v>
      </c>
      <c r="D59" s="46" t="s">
        <v>29</v>
      </c>
      <c r="E59" s="47">
        <v>56.746785015812776</v>
      </c>
      <c r="F59" s="47">
        <v>1.4129865470549796</v>
      </c>
      <c r="G59" s="47">
        <v>54.992330490513346</v>
      </c>
      <c r="H59" s="52">
        <v>58.501239541112206</v>
      </c>
    </row>
    <row r="60" spans="1:8" ht="14.5" thickBot="1">
      <c r="A60" s="287" t="s">
        <v>65</v>
      </c>
      <c r="B60" s="262" t="s">
        <v>4</v>
      </c>
      <c r="C60" s="44" t="s">
        <v>30</v>
      </c>
      <c r="D60" s="44" t="s">
        <v>29</v>
      </c>
      <c r="E60" s="45">
        <v>83.102599999999995</v>
      </c>
      <c r="F60" s="45">
        <v>0.28283882336058319</v>
      </c>
      <c r="G60" s="45">
        <v>82.751409215763857</v>
      </c>
      <c r="H60" s="51">
        <v>83.453790784236134</v>
      </c>
    </row>
    <row r="61" spans="1:8" ht="14.5" thickBot="1">
      <c r="A61" s="287" t="s">
        <v>65</v>
      </c>
      <c r="B61" s="262" t="s">
        <v>4</v>
      </c>
      <c r="C61" s="22" t="s">
        <v>31</v>
      </c>
      <c r="D61" s="22" t="s">
        <v>32</v>
      </c>
      <c r="E61" s="23">
        <v>5.1454328194691541E-2</v>
      </c>
      <c r="F61" s="23">
        <v>1.1730721474135296E-3</v>
      </c>
      <c r="G61" s="23">
        <v>4.9997766742056346E-2</v>
      </c>
      <c r="H61" s="24">
        <v>5.2910889647326736E-2</v>
      </c>
    </row>
    <row r="62" spans="1:8" ht="14.5" thickBot="1">
      <c r="A62" s="287" t="s">
        <v>65</v>
      </c>
      <c r="B62" s="263" t="s">
        <v>5</v>
      </c>
      <c r="C62" s="56" t="s">
        <v>6</v>
      </c>
      <c r="D62" s="56" t="s">
        <v>7</v>
      </c>
      <c r="E62" s="57">
        <v>2.7969264399999987</v>
      </c>
      <c r="F62" s="57">
        <v>0.18485687574042567</v>
      </c>
      <c r="G62" s="57">
        <v>2.5673963125890369</v>
      </c>
      <c r="H62" s="58">
        <v>3.0264565674109605</v>
      </c>
    </row>
    <row r="63" spans="1:8" ht="14.5" thickBot="1">
      <c r="A63" s="287" t="s">
        <v>65</v>
      </c>
      <c r="B63" s="263" t="s">
        <v>5</v>
      </c>
      <c r="C63" s="46" t="s">
        <v>8</v>
      </c>
      <c r="D63" s="46" t="s">
        <v>9</v>
      </c>
      <c r="E63" s="47">
        <v>1.1300712888888882</v>
      </c>
      <c r="F63" s="47">
        <v>7.4689646763808307E-2</v>
      </c>
      <c r="G63" s="47">
        <v>1.0373318434703178</v>
      </c>
      <c r="H63" s="52">
        <v>1.2228107343074586</v>
      </c>
    </row>
    <row r="64" spans="1:8" ht="14.5" thickBot="1">
      <c r="A64" s="287" t="s">
        <v>65</v>
      </c>
      <c r="B64" s="263" t="s">
        <v>5</v>
      </c>
      <c r="C64" s="44" t="s">
        <v>10</v>
      </c>
      <c r="D64" s="44" t="s">
        <v>11</v>
      </c>
      <c r="E64" s="45">
        <v>887.80912528117267</v>
      </c>
      <c r="F64" s="45">
        <v>55.053449183000019</v>
      </c>
      <c r="G64" s="45">
        <v>819.45123945857097</v>
      </c>
      <c r="H64" s="51">
        <v>956.16701110377437</v>
      </c>
    </row>
    <row r="65" spans="1:8" ht="14.5" thickBot="1">
      <c r="A65" s="287" t="s">
        <v>65</v>
      </c>
      <c r="B65" s="263" t="s">
        <v>5</v>
      </c>
      <c r="C65" s="288" t="s">
        <v>12</v>
      </c>
      <c r="D65" s="288" t="s">
        <v>13</v>
      </c>
      <c r="E65" s="289">
        <v>3.2067988654863657</v>
      </c>
      <c r="F65" s="289">
        <v>0.12348673839466885</v>
      </c>
      <c r="G65" s="289">
        <v>3.0534698281770218</v>
      </c>
      <c r="H65" s="290">
        <v>3.3601279027957096</v>
      </c>
    </row>
    <row r="66" spans="1:8" ht="14.5" thickBot="1">
      <c r="A66" s="287" t="s">
        <v>65</v>
      </c>
      <c r="B66" s="263" t="s">
        <v>5</v>
      </c>
      <c r="C66" s="44" t="s">
        <v>14</v>
      </c>
      <c r="D66" s="44" t="s">
        <v>13</v>
      </c>
      <c r="E66" s="45">
        <v>5.3743749999999997</v>
      </c>
      <c r="F66" s="45">
        <v>0.76684660195993593</v>
      </c>
      <c r="G66" s="45">
        <v>4.4222091822692873</v>
      </c>
      <c r="H66" s="51">
        <v>6.3265408177307121</v>
      </c>
    </row>
    <row r="67" spans="1:8" ht="14.5" thickBot="1">
      <c r="A67" s="287" t="s">
        <v>65</v>
      </c>
      <c r="B67" s="263" t="s">
        <v>5</v>
      </c>
      <c r="C67" s="46" t="s">
        <v>15</v>
      </c>
      <c r="D67" s="46" t="s">
        <v>16</v>
      </c>
      <c r="E67" s="47">
        <v>5121.4828125000004</v>
      </c>
      <c r="F67" s="47">
        <v>10.159777632555191</v>
      </c>
      <c r="G67" s="47">
        <v>5108.8677823847993</v>
      </c>
      <c r="H67" s="52">
        <v>5134.0978426152014</v>
      </c>
    </row>
    <row r="68" spans="1:8" ht="14.5" thickBot="1">
      <c r="A68" s="287" t="s">
        <v>65</v>
      </c>
      <c r="B68" s="263" t="s">
        <v>5</v>
      </c>
      <c r="C68" s="294" t="s">
        <v>17</v>
      </c>
      <c r="D68" s="294" t="s">
        <v>16</v>
      </c>
      <c r="E68" s="295">
        <v>5322.7051418142046</v>
      </c>
      <c r="F68" s="295">
        <v>3.4837973915498055</v>
      </c>
      <c r="G68" s="295">
        <v>5318.3794360163893</v>
      </c>
      <c r="H68" s="296">
        <v>5327.0308476120199</v>
      </c>
    </row>
    <row r="69" spans="1:8" ht="14.5" thickBot="1">
      <c r="A69" s="287" t="s">
        <v>65</v>
      </c>
      <c r="B69" s="263" t="s">
        <v>5</v>
      </c>
      <c r="C69" s="46" t="s">
        <v>18</v>
      </c>
      <c r="D69" s="46" t="s">
        <v>16</v>
      </c>
      <c r="E69" s="47">
        <v>5345.3148437500004</v>
      </c>
      <c r="F69" s="47">
        <v>1.345555994768926</v>
      </c>
      <c r="G69" s="47">
        <v>5343.6441153138476</v>
      </c>
      <c r="H69" s="52">
        <v>5346.9855721861531</v>
      </c>
    </row>
    <row r="70" spans="1:8" ht="14.5" thickBot="1">
      <c r="A70" s="287" t="s">
        <v>65</v>
      </c>
      <c r="B70" s="263" t="s">
        <v>5</v>
      </c>
      <c r="C70" s="44" t="s">
        <v>19</v>
      </c>
      <c r="D70" s="44" t="s">
        <v>16</v>
      </c>
      <c r="E70" s="45">
        <v>201.22232931420439</v>
      </c>
      <c r="F70" s="45">
        <v>6.6817348615324255</v>
      </c>
      <c r="G70" s="45">
        <v>192.92585969168761</v>
      </c>
      <c r="H70" s="51">
        <v>209.51879893672117</v>
      </c>
    </row>
    <row r="71" spans="1:8" ht="14.5" thickBot="1">
      <c r="A71" s="287" t="s">
        <v>65</v>
      </c>
      <c r="B71" s="263" t="s">
        <v>5</v>
      </c>
      <c r="C71" s="46" t="s">
        <v>20</v>
      </c>
      <c r="D71" s="46" t="s">
        <v>16</v>
      </c>
      <c r="E71" s="47">
        <v>223.83203125</v>
      </c>
      <c r="F71" s="47">
        <v>9.0690729968378054</v>
      </c>
      <c r="G71" s="47">
        <v>212.5712898135468</v>
      </c>
      <c r="H71" s="52">
        <v>235.0927726864532</v>
      </c>
    </row>
    <row r="72" spans="1:8" ht="14.5" thickBot="1">
      <c r="A72" s="287" t="s">
        <v>65</v>
      </c>
      <c r="B72" s="263" t="s">
        <v>5</v>
      </c>
      <c r="C72" s="44" t="s">
        <v>21</v>
      </c>
      <c r="D72" s="44" t="s">
        <v>16</v>
      </c>
      <c r="E72" s="45">
        <v>7119.359375</v>
      </c>
      <c r="F72" s="45">
        <v>0</v>
      </c>
      <c r="G72" s="45">
        <v>7119.359375</v>
      </c>
      <c r="H72" s="51">
        <v>7119.359375</v>
      </c>
    </row>
    <row r="73" spans="1:8" ht="14.5" thickBot="1">
      <c r="A73" s="287" t="s">
        <v>65</v>
      </c>
      <c r="B73" s="263" t="s">
        <v>5</v>
      </c>
      <c r="C73" s="266" t="s">
        <v>22</v>
      </c>
      <c r="D73" s="266" t="s">
        <v>16</v>
      </c>
      <c r="E73" s="267">
        <v>7119.359375</v>
      </c>
      <c r="F73" s="267">
        <v>0</v>
      </c>
      <c r="G73" s="267">
        <v>7119.359375</v>
      </c>
      <c r="H73" s="268">
        <v>7119.359375</v>
      </c>
    </row>
    <row r="74" spans="1:8" ht="14.5" thickBot="1">
      <c r="A74" s="287" t="s">
        <v>65</v>
      </c>
      <c r="B74" s="263" t="s">
        <v>5</v>
      </c>
      <c r="C74" s="44" t="s">
        <v>23</v>
      </c>
      <c r="D74" s="44" t="s">
        <v>16</v>
      </c>
      <c r="E74" s="45">
        <v>7119.359375</v>
      </c>
      <c r="F74" s="45">
        <v>0</v>
      </c>
      <c r="G74" s="45">
        <v>7119.359375</v>
      </c>
      <c r="H74" s="51">
        <v>7119.359375</v>
      </c>
    </row>
    <row r="75" spans="1:8" ht="14.5" thickBot="1">
      <c r="A75" s="287" t="s">
        <v>65</v>
      </c>
      <c r="B75" s="263" t="s">
        <v>5</v>
      </c>
      <c r="C75" s="46" t="s">
        <v>24</v>
      </c>
      <c r="D75" s="46" t="s">
        <v>16</v>
      </c>
      <c r="E75" s="47">
        <v>0</v>
      </c>
      <c r="F75" s="47">
        <v>0</v>
      </c>
      <c r="G75" s="47">
        <v>0</v>
      </c>
      <c r="H75" s="52">
        <v>0</v>
      </c>
    </row>
    <row r="76" spans="1:8" ht="14.5" thickBot="1">
      <c r="A76" s="287" t="s">
        <v>65</v>
      </c>
      <c r="B76" s="263" t="s">
        <v>5</v>
      </c>
      <c r="C76" s="44" t="s">
        <v>25</v>
      </c>
      <c r="D76" s="44" t="s">
        <v>16</v>
      </c>
      <c r="E76" s="45">
        <v>0</v>
      </c>
      <c r="F76" s="45">
        <v>0</v>
      </c>
      <c r="G76" s="45">
        <v>0</v>
      </c>
      <c r="H76" s="51">
        <v>0</v>
      </c>
    </row>
    <row r="77" spans="1:8" ht="14.5" thickBot="1">
      <c r="A77" s="287" t="s">
        <v>65</v>
      </c>
      <c r="B77" s="263" t="s">
        <v>5</v>
      </c>
      <c r="C77" s="46" t="s">
        <v>26</v>
      </c>
      <c r="D77" s="46" t="s">
        <v>13</v>
      </c>
      <c r="E77" s="47">
        <v>81.393190883190883</v>
      </c>
      <c r="F77" s="47">
        <v>2.2665079633084622</v>
      </c>
      <c r="G77" s="47">
        <v>78.578949543709115</v>
      </c>
      <c r="H77" s="52">
        <v>84.207432222672651</v>
      </c>
    </row>
    <row r="78" spans="1:8" ht="14.5" thickBot="1">
      <c r="A78" s="287" t="s">
        <v>65</v>
      </c>
      <c r="B78" s="263" t="s">
        <v>5</v>
      </c>
      <c r="C78" s="44" t="s">
        <v>27</v>
      </c>
      <c r="D78" s="44" t="s">
        <v>13</v>
      </c>
      <c r="E78" s="45">
        <v>94.4</v>
      </c>
      <c r="F78" s="45">
        <v>2.0736441353327719</v>
      </c>
      <c r="G78" s="45">
        <v>91.825230732254354</v>
      </c>
      <c r="H78" s="51">
        <v>96.974769267745657</v>
      </c>
    </row>
    <row r="79" spans="1:8" ht="14.5" thickBot="1">
      <c r="A79" s="287" t="s">
        <v>65</v>
      </c>
      <c r="B79" s="263" t="s">
        <v>5</v>
      </c>
      <c r="C79" s="46" t="s">
        <v>28</v>
      </c>
      <c r="D79" s="46" t="s">
        <v>29</v>
      </c>
      <c r="E79" s="47">
        <v>53.99146046805047</v>
      </c>
      <c r="F79" s="47">
        <v>1.8792458082003716</v>
      </c>
      <c r="G79" s="47">
        <v>51.658068604398963</v>
      </c>
      <c r="H79" s="52">
        <v>56.324852331701976</v>
      </c>
    </row>
    <row r="80" spans="1:8" ht="14.5" thickBot="1">
      <c r="A80" s="287" t="s">
        <v>65</v>
      </c>
      <c r="B80" s="263" t="s">
        <v>5</v>
      </c>
      <c r="C80" s="44" t="s">
        <v>30</v>
      </c>
      <c r="D80" s="44" t="s">
        <v>29</v>
      </c>
      <c r="E80" s="45">
        <v>81.475200000000001</v>
      </c>
      <c r="F80" s="45">
        <v>1.7107050300972391</v>
      </c>
      <c r="G80" s="45">
        <v>79.35107915273349</v>
      </c>
      <c r="H80" s="51">
        <v>83.599320847266512</v>
      </c>
    </row>
    <row r="81" spans="1:8" ht="14.5" thickBot="1">
      <c r="A81" s="287" t="s">
        <v>65</v>
      </c>
      <c r="B81" s="263" t="s">
        <v>5</v>
      </c>
      <c r="C81" s="22" t="s">
        <v>31</v>
      </c>
      <c r="D81" s="22" t="s">
        <v>32</v>
      </c>
      <c r="E81" s="23">
        <v>4.2356502612533452E-2</v>
      </c>
      <c r="F81" s="23">
        <v>5.8288207321102248E-4</v>
      </c>
      <c r="G81" s="23">
        <v>4.1632758927080515E-2</v>
      </c>
      <c r="H81" s="24">
        <v>4.3080246297986388E-2</v>
      </c>
    </row>
    <row r="82" spans="1:8" ht="14.5" thickBot="1">
      <c r="A82" s="287" t="s">
        <v>63</v>
      </c>
      <c r="B82" s="264" t="s">
        <v>2</v>
      </c>
      <c r="C82" s="25" t="s">
        <v>6</v>
      </c>
      <c r="D82" s="25" t="s">
        <v>7</v>
      </c>
      <c r="E82" s="26">
        <v>23.456171939999876</v>
      </c>
      <c r="F82" s="26">
        <v>1.2840744532362032</v>
      </c>
      <c r="G82" s="26">
        <v>21.861782920516884</v>
      </c>
      <c r="H82" s="27">
        <v>25.050560959482869</v>
      </c>
    </row>
    <row r="83" spans="1:8" ht="14.5" thickBot="1">
      <c r="A83" s="287" t="s">
        <v>543</v>
      </c>
      <c r="B83" s="264" t="s">
        <v>2</v>
      </c>
      <c r="C83" s="10" t="s">
        <v>8</v>
      </c>
      <c r="D83" s="10" t="s">
        <v>9</v>
      </c>
      <c r="E83" s="12">
        <v>1.3031206633333265</v>
      </c>
      <c r="F83" s="12">
        <v>7.1337469624233554E-2</v>
      </c>
      <c r="G83" s="12">
        <v>1.2145434955842713</v>
      </c>
      <c r="H83" s="28">
        <v>1.3916978310823818</v>
      </c>
    </row>
    <row r="84" spans="1:8" ht="14.5" thickBot="1">
      <c r="A84" s="287" t="s">
        <v>544</v>
      </c>
      <c r="B84" s="264" t="s">
        <v>2</v>
      </c>
      <c r="C84" s="9" t="s">
        <v>10</v>
      </c>
      <c r="D84" s="9" t="s">
        <v>11</v>
      </c>
      <c r="E84" s="11">
        <v>769.20425449008951</v>
      </c>
      <c r="F84" s="11">
        <v>41.482784971287039</v>
      </c>
      <c r="G84" s="11">
        <v>717.69657384968366</v>
      </c>
      <c r="H84" s="29">
        <v>820.71193513049536</v>
      </c>
    </row>
    <row r="85" spans="1:8" ht="14.5" thickBot="1">
      <c r="A85" s="287" t="s">
        <v>545</v>
      </c>
      <c r="B85" s="264" t="s">
        <v>2</v>
      </c>
      <c r="C85" s="291" t="s">
        <v>12</v>
      </c>
      <c r="D85" s="291" t="s">
        <v>13</v>
      </c>
      <c r="E85" s="292">
        <v>3.1987365187653083</v>
      </c>
      <c r="F85" s="292">
        <v>6.5441082273983472E-2</v>
      </c>
      <c r="G85" s="292">
        <v>3.1174806829080013</v>
      </c>
      <c r="H85" s="293">
        <v>3.2799923546226153</v>
      </c>
    </row>
    <row r="86" spans="1:8" ht="14.5" thickBot="1">
      <c r="A86" s="287" t="s">
        <v>546</v>
      </c>
      <c r="B86" s="264" t="s">
        <v>2</v>
      </c>
      <c r="C86" s="9" t="s">
        <v>14</v>
      </c>
      <c r="D86" s="9" t="s">
        <v>13</v>
      </c>
      <c r="E86" s="11">
        <v>5.1412499999999994</v>
      </c>
      <c r="F86" s="11">
        <v>0.22657219806829804</v>
      </c>
      <c r="G86" s="11">
        <v>4.8599234586847428</v>
      </c>
      <c r="H86" s="29">
        <v>5.422576541315256</v>
      </c>
    </row>
    <row r="87" spans="1:8" ht="14.5" thickBot="1">
      <c r="A87" s="287" t="s">
        <v>547</v>
      </c>
      <c r="B87" s="264" t="s">
        <v>2</v>
      </c>
      <c r="C87" s="10" t="s">
        <v>15</v>
      </c>
      <c r="D87" s="10" t="s">
        <v>16</v>
      </c>
      <c r="E87" s="12">
        <v>2710.5062499999999</v>
      </c>
      <c r="F87" s="12">
        <v>285.47830113193419</v>
      </c>
      <c r="G87" s="12">
        <v>2356.0381212413567</v>
      </c>
      <c r="H87" s="28">
        <v>3064.9743787586431</v>
      </c>
    </row>
    <row r="88" spans="1:8" ht="14.5" thickBot="1">
      <c r="A88" s="287" t="s">
        <v>548</v>
      </c>
      <c r="B88" s="264" t="s">
        <v>2</v>
      </c>
      <c r="C88" s="297" t="s">
        <v>17</v>
      </c>
      <c r="D88" s="297" t="s">
        <v>16</v>
      </c>
      <c r="E88" s="298">
        <v>4049.7501991081217</v>
      </c>
      <c r="F88" s="298">
        <v>286.57422180852774</v>
      </c>
      <c r="G88" s="298">
        <v>3693.9213051005618</v>
      </c>
      <c r="H88" s="299">
        <v>4405.5790931156816</v>
      </c>
    </row>
    <row r="89" spans="1:8" ht="14.5" thickBot="1">
      <c r="A89" s="287" t="s">
        <v>549</v>
      </c>
      <c r="B89" s="264" t="s">
        <v>2</v>
      </c>
      <c r="C89" s="10" t="s">
        <v>18</v>
      </c>
      <c r="D89" s="10" t="s">
        <v>16</v>
      </c>
      <c r="E89" s="12">
        <v>4068.8296875000001</v>
      </c>
      <c r="F89" s="12">
        <v>285.60582585790689</v>
      </c>
      <c r="G89" s="12">
        <v>3714.2032158802467</v>
      </c>
      <c r="H89" s="28">
        <v>4423.4561591197535</v>
      </c>
    </row>
    <row r="90" spans="1:8" ht="14.5" thickBot="1">
      <c r="A90" s="287" t="s">
        <v>550</v>
      </c>
      <c r="B90" s="264" t="s">
        <v>2</v>
      </c>
      <c r="C90" s="9" t="s">
        <v>19</v>
      </c>
      <c r="D90" s="9" t="s">
        <v>16</v>
      </c>
      <c r="E90" s="11">
        <v>1339.2439491081216</v>
      </c>
      <c r="F90" s="11">
        <v>1.3799388137537154</v>
      </c>
      <c r="G90" s="11">
        <v>1337.5305287634817</v>
      </c>
      <c r="H90" s="29">
        <v>1340.9573694527614</v>
      </c>
    </row>
    <row r="91" spans="1:8" ht="14.5" thickBot="1">
      <c r="A91" s="287" t="s">
        <v>551</v>
      </c>
      <c r="B91" s="264" t="s">
        <v>2</v>
      </c>
      <c r="C91" s="10" t="s">
        <v>20</v>
      </c>
      <c r="D91" s="10" t="s">
        <v>16</v>
      </c>
      <c r="E91" s="12">
        <v>1358.3234375</v>
      </c>
      <c r="F91" s="12">
        <v>1.0218387142353516</v>
      </c>
      <c r="G91" s="12">
        <v>1357.0546571566535</v>
      </c>
      <c r="H91" s="28">
        <v>1359.5922178433464</v>
      </c>
    </row>
    <row r="92" spans="1:8" ht="14.5" thickBot="1">
      <c r="A92" s="287" t="s">
        <v>552</v>
      </c>
      <c r="B92" s="264" t="s">
        <v>2</v>
      </c>
      <c r="C92" s="9" t="s">
        <v>21</v>
      </c>
      <c r="D92" s="9" t="s">
        <v>16</v>
      </c>
      <c r="E92" s="11">
        <v>7000.53125</v>
      </c>
      <c r="F92" s="11">
        <v>0</v>
      </c>
      <c r="G92" s="11">
        <v>7000.53125</v>
      </c>
      <c r="H92" s="29">
        <v>7000.53125</v>
      </c>
    </row>
    <row r="93" spans="1:8" ht="14.5" thickBot="1">
      <c r="A93" s="287" t="s">
        <v>553</v>
      </c>
      <c r="B93" s="264" t="s">
        <v>2</v>
      </c>
      <c r="C93" s="282" t="s">
        <v>22</v>
      </c>
      <c r="D93" s="282" t="s">
        <v>16</v>
      </c>
      <c r="E93" s="283">
        <v>7000.53125</v>
      </c>
      <c r="F93" s="283">
        <v>0</v>
      </c>
      <c r="G93" s="283">
        <v>7000.53125</v>
      </c>
      <c r="H93" s="284">
        <v>7000.53125</v>
      </c>
    </row>
    <row r="94" spans="1:8" ht="14.5" thickBot="1">
      <c r="A94" s="287" t="s">
        <v>554</v>
      </c>
      <c r="B94" s="264" t="s">
        <v>2</v>
      </c>
      <c r="C94" s="9" t="s">
        <v>23</v>
      </c>
      <c r="D94" s="9" t="s">
        <v>16</v>
      </c>
      <c r="E94" s="11">
        <v>7000.53125</v>
      </c>
      <c r="F94" s="11">
        <v>0</v>
      </c>
      <c r="G94" s="11">
        <v>7000.53125</v>
      </c>
      <c r="H94" s="29">
        <v>7000.53125</v>
      </c>
    </row>
    <row r="95" spans="1:8" ht="14.5" thickBot="1">
      <c r="A95" s="287" t="s">
        <v>555</v>
      </c>
      <c r="B95" s="264" t="s">
        <v>2</v>
      </c>
      <c r="C95" s="10" t="s">
        <v>24</v>
      </c>
      <c r="D95" s="10" t="s">
        <v>16</v>
      </c>
      <c r="E95" s="12">
        <v>0</v>
      </c>
      <c r="F95" s="12">
        <v>0</v>
      </c>
      <c r="G95" s="12">
        <v>0</v>
      </c>
      <c r="H95" s="28">
        <v>0</v>
      </c>
    </row>
    <row r="96" spans="1:8" ht="14.5" thickBot="1">
      <c r="A96" s="287" t="s">
        <v>556</v>
      </c>
      <c r="B96" s="264" t="s">
        <v>2</v>
      </c>
      <c r="C96" s="9" t="s">
        <v>25</v>
      </c>
      <c r="D96" s="9" t="s">
        <v>16</v>
      </c>
      <c r="E96" s="11">
        <v>0</v>
      </c>
      <c r="F96" s="11">
        <v>0</v>
      </c>
      <c r="G96" s="11">
        <v>0</v>
      </c>
      <c r="H96" s="29">
        <v>0</v>
      </c>
    </row>
    <row r="97" spans="1:8" ht="14.5" thickBot="1">
      <c r="A97" s="287" t="s">
        <v>557</v>
      </c>
      <c r="B97" s="264" t="s">
        <v>2</v>
      </c>
      <c r="C97" s="10" t="s">
        <v>26</v>
      </c>
      <c r="D97" s="10" t="s">
        <v>13</v>
      </c>
      <c r="E97" s="12">
        <v>89.848546964757759</v>
      </c>
      <c r="F97" s="12">
        <v>0.81823870819972244</v>
      </c>
      <c r="G97" s="12">
        <v>88.832569418921793</v>
      </c>
      <c r="H97" s="28">
        <v>90.864524510593725</v>
      </c>
    </row>
    <row r="98" spans="1:8" ht="14.5" thickBot="1">
      <c r="A98" s="287" t="s">
        <v>558</v>
      </c>
      <c r="B98" s="264" t="s">
        <v>2</v>
      </c>
      <c r="C98" s="9" t="s">
        <v>27</v>
      </c>
      <c r="D98" s="9" t="s">
        <v>13</v>
      </c>
      <c r="E98" s="11">
        <v>98.6</v>
      </c>
      <c r="F98" s="11">
        <v>3.1304951684997055</v>
      </c>
      <c r="G98" s="11">
        <v>94.712976853000001</v>
      </c>
      <c r="H98" s="29">
        <v>102.48702314699999</v>
      </c>
    </row>
    <row r="99" spans="1:8" ht="14.5" thickBot="1">
      <c r="A99" s="287" t="s">
        <v>559</v>
      </c>
      <c r="B99" s="264" t="s">
        <v>2</v>
      </c>
      <c r="C99" s="10" t="s">
        <v>28</v>
      </c>
      <c r="D99" s="10" t="s">
        <v>29</v>
      </c>
      <c r="E99" s="12">
        <v>64.823911069648005</v>
      </c>
      <c r="F99" s="12">
        <v>5.3871055633476104</v>
      </c>
      <c r="G99" s="12">
        <v>58.134936037592595</v>
      </c>
      <c r="H99" s="28">
        <v>71.512886101703415</v>
      </c>
    </row>
    <row r="100" spans="1:8" ht="14.5" thickBot="1">
      <c r="A100" s="287" t="s">
        <v>560</v>
      </c>
      <c r="B100" s="264" t="s">
        <v>2</v>
      </c>
      <c r="C100" s="9" t="s">
        <v>30</v>
      </c>
      <c r="D100" s="9" t="s">
        <v>29</v>
      </c>
      <c r="E100" s="11">
        <v>87.123599999999996</v>
      </c>
      <c r="F100" s="11">
        <v>4.0223897498874956</v>
      </c>
      <c r="G100" s="11">
        <v>82.129143461176653</v>
      </c>
      <c r="H100" s="29">
        <v>92.118056538823339</v>
      </c>
    </row>
    <row r="101" spans="1:8" ht="14.5" thickBot="1">
      <c r="A101" s="287" t="s">
        <v>561</v>
      </c>
      <c r="B101" s="264" t="s">
        <v>2</v>
      </c>
      <c r="C101" s="36" t="s">
        <v>31</v>
      </c>
      <c r="D101" s="36" t="s">
        <v>32</v>
      </c>
      <c r="E101" s="37">
        <v>0.41957355587789957</v>
      </c>
      <c r="F101" s="37">
        <v>1.4237190248739465E-2</v>
      </c>
      <c r="G101" s="37">
        <v>0.40189574931172145</v>
      </c>
      <c r="H101" s="38">
        <v>0.4372513624440777</v>
      </c>
    </row>
    <row r="102" spans="1:8" ht="14.5" thickBot="1">
      <c r="A102" s="287" t="s">
        <v>562</v>
      </c>
      <c r="B102" s="265" t="s">
        <v>3</v>
      </c>
      <c r="C102" s="25" t="s">
        <v>6</v>
      </c>
      <c r="D102" s="25" t="s">
        <v>7</v>
      </c>
      <c r="E102" s="26">
        <v>7.8246619399999648</v>
      </c>
      <c r="F102" s="26">
        <v>0.39571917229039499</v>
      </c>
      <c r="G102" s="26">
        <v>7.3333116904029927</v>
      </c>
      <c r="H102" s="27">
        <v>8.3160121895969379</v>
      </c>
    </row>
    <row r="103" spans="1:8" ht="14.5" thickBot="1">
      <c r="A103" s="287" t="s">
        <v>563</v>
      </c>
      <c r="B103" s="265" t="s">
        <v>87</v>
      </c>
      <c r="C103" s="10" t="s">
        <v>8</v>
      </c>
      <c r="D103" s="10" t="s">
        <v>9</v>
      </c>
      <c r="E103" s="12">
        <v>1.3126424995806012</v>
      </c>
      <c r="F103" s="12">
        <v>6.6384695905115768E-2</v>
      </c>
      <c r="G103" s="12">
        <v>1.2302150126493863</v>
      </c>
      <c r="H103" s="28">
        <v>1.3950699865118161</v>
      </c>
    </row>
    <row r="104" spans="1:8" ht="14.5" thickBot="1">
      <c r="A104" s="287" t="s">
        <v>564</v>
      </c>
      <c r="B104" s="265" t="s">
        <v>88</v>
      </c>
      <c r="C104" s="9" t="s">
        <v>10</v>
      </c>
      <c r="D104" s="9" t="s">
        <v>11</v>
      </c>
      <c r="E104" s="11">
        <v>763.28779797533491</v>
      </c>
      <c r="F104" s="11">
        <v>36.23137162993455</v>
      </c>
      <c r="G104" s="11">
        <v>718.30060822010887</v>
      </c>
      <c r="H104" s="29">
        <v>808.27498773056095</v>
      </c>
    </row>
    <row r="105" spans="1:8" ht="14.5" thickBot="1">
      <c r="A105" s="287" t="s">
        <v>565</v>
      </c>
      <c r="B105" s="265" t="s">
        <v>89</v>
      </c>
      <c r="C105" s="291" t="s">
        <v>12</v>
      </c>
      <c r="D105" s="291" t="s">
        <v>13</v>
      </c>
      <c r="E105" s="292">
        <v>3.0699711894786437</v>
      </c>
      <c r="F105" s="292">
        <v>9.5254128379572645E-2</v>
      </c>
      <c r="G105" s="292">
        <v>2.9516975675978747</v>
      </c>
      <c r="H105" s="293">
        <v>3.1882448113594126</v>
      </c>
    </row>
    <row r="106" spans="1:8" ht="14.5" thickBot="1">
      <c r="A106" s="287" t="s">
        <v>566</v>
      </c>
      <c r="B106" s="265" t="s">
        <v>90</v>
      </c>
      <c r="C106" s="9" t="s">
        <v>14</v>
      </c>
      <c r="D106" s="9" t="s">
        <v>13</v>
      </c>
      <c r="E106" s="11">
        <v>5.32125</v>
      </c>
      <c r="F106" s="11">
        <v>0.76489569856778505</v>
      </c>
      <c r="G106" s="11">
        <v>4.3715065487751223</v>
      </c>
      <c r="H106" s="29">
        <v>6.2709934512248777</v>
      </c>
    </row>
    <row r="107" spans="1:8" ht="14.5" thickBot="1">
      <c r="A107" s="287" t="s">
        <v>567</v>
      </c>
      <c r="B107" s="265" t="s">
        <v>91</v>
      </c>
      <c r="C107" s="10" t="s">
        <v>15</v>
      </c>
      <c r="D107" s="10" t="s">
        <v>16</v>
      </c>
      <c r="E107" s="12">
        <v>6911.6398437500002</v>
      </c>
      <c r="F107" s="12">
        <v>14.461640069795015</v>
      </c>
      <c r="G107" s="12">
        <v>6893.6833459216341</v>
      </c>
      <c r="H107" s="28">
        <v>6929.5963415783663</v>
      </c>
    </row>
    <row r="108" spans="1:8" ht="14.5" thickBot="1">
      <c r="A108" s="287" t="s">
        <v>568</v>
      </c>
      <c r="B108" s="265" t="s">
        <v>92</v>
      </c>
      <c r="C108" s="297" t="s">
        <v>17</v>
      </c>
      <c r="D108" s="297" t="s">
        <v>16</v>
      </c>
      <c r="E108" s="298">
        <v>7374.5034385724948</v>
      </c>
      <c r="F108" s="298">
        <v>7.4921249366858582</v>
      </c>
      <c r="G108" s="298">
        <v>7365.2007367692304</v>
      </c>
      <c r="H108" s="299">
        <v>7383.8061403757592</v>
      </c>
    </row>
    <row r="109" spans="1:8" ht="14.5" thickBot="1">
      <c r="A109" s="287" t="s">
        <v>569</v>
      </c>
      <c r="B109" s="265" t="s">
        <v>93</v>
      </c>
      <c r="C109" s="10" t="s">
        <v>18</v>
      </c>
      <c r="D109" s="10" t="s">
        <v>16</v>
      </c>
      <c r="E109" s="12">
        <v>7392.31640625</v>
      </c>
      <c r="F109" s="12">
        <v>5.6196833598035685</v>
      </c>
      <c r="G109" s="12">
        <v>7385.3386477413242</v>
      </c>
      <c r="H109" s="28">
        <v>7399.2941647586758</v>
      </c>
    </row>
    <row r="110" spans="1:8" ht="14.5" thickBot="1">
      <c r="A110" s="287" t="s">
        <v>570</v>
      </c>
      <c r="B110" s="265" t="s">
        <v>94</v>
      </c>
      <c r="C110" s="9" t="s">
        <v>19</v>
      </c>
      <c r="D110" s="9" t="s">
        <v>16</v>
      </c>
      <c r="E110" s="11">
        <v>462.86359482249497</v>
      </c>
      <c r="F110" s="11">
        <v>6.9911755749876265</v>
      </c>
      <c r="G110" s="11">
        <v>454.18290380652974</v>
      </c>
      <c r="H110" s="29">
        <v>471.54428583846021</v>
      </c>
    </row>
    <row r="111" spans="1:8" ht="14.5" thickBot="1">
      <c r="A111" s="287" t="s">
        <v>571</v>
      </c>
      <c r="B111" s="265" t="s">
        <v>95</v>
      </c>
      <c r="C111" s="10" t="s">
        <v>20</v>
      </c>
      <c r="D111" s="10" t="s">
        <v>16</v>
      </c>
      <c r="E111" s="12">
        <v>480.67656249999999</v>
      </c>
      <c r="F111" s="12">
        <v>8.9281680171839515</v>
      </c>
      <c r="G111" s="12">
        <v>469.59077770393816</v>
      </c>
      <c r="H111" s="28">
        <v>491.76234729606182</v>
      </c>
    </row>
    <row r="112" spans="1:8" ht="14.5" thickBot="1">
      <c r="A112" s="287" t="s">
        <v>572</v>
      </c>
      <c r="B112" s="265" t="s">
        <v>96</v>
      </c>
      <c r="C112" s="9" t="s">
        <v>21</v>
      </c>
      <c r="D112" s="9" t="s">
        <v>16</v>
      </c>
      <c r="E112" s="11">
        <v>7003.67578125</v>
      </c>
      <c r="F112" s="11">
        <v>0</v>
      </c>
      <c r="G112" s="11">
        <v>7003.67578125</v>
      </c>
      <c r="H112" s="29">
        <v>7003.67578125</v>
      </c>
    </row>
    <row r="113" spans="1:8" ht="14.5" thickBot="1">
      <c r="A113" s="287" t="s">
        <v>573</v>
      </c>
      <c r="B113" s="265" t="s">
        <v>97</v>
      </c>
      <c r="C113" s="282" t="s">
        <v>22</v>
      </c>
      <c r="D113" s="282" t="s">
        <v>16</v>
      </c>
      <c r="E113" s="283">
        <v>7003.67578125</v>
      </c>
      <c r="F113" s="283">
        <v>0</v>
      </c>
      <c r="G113" s="283">
        <v>7003.67578125</v>
      </c>
      <c r="H113" s="284">
        <v>7003.67578125</v>
      </c>
    </row>
    <row r="114" spans="1:8" ht="14.5" thickBot="1">
      <c r="A114" s="287" t="s">
        <v>574</v>
      </c>
      <c r="B114" s="265" t="s">
        <v>98</v>
      </c>
      <c r="C114" s="9" t="s">
        <v>23</v>
      </c>
      <c r="D114" s="9" t="s">
        <v>16</v>
      </c>
      <c r="E114" s="11">
        <v>7003.67578125</v>
      </c>
      <c r="F114" s="11">
        <v>0</v>
      </c>
      <c r="G114" s="11">
        <v>7003.67578125</v>
      </c>
      <c r="H114" s="29">
        <v>7003.67578125</v>
      </c>
    </row>
    <row r="115" spans="1:8" ht="14.5" thickBot="1">
      <c r="A115" s="287" t="s">
        <v>575</v>
      </c>
      <c r="B115" s="265" t="s">
        <v>99</v>
      </c>
      <c r="C115" s="10" t="s">
        <v>24</v>
      </c>
      <c r="D115" s="10" t="s">
        <v>16</v>
      </c>
      <c r="E115" s="12">
        <v>0</v>
      </c>
      <c r="F115" s="12">
        <v>0</v>
      </c>
      <c r="G115" s="12">
        <v>0</v>
      </c>
      <c r="H115" s="28">
        <v>0</v>
      </c>
    </row>
    <row r="116" spans="1:8" ht="14.5" thickBot="1">
      <c r="A116" s="287" t="s">
        <v>576</v>
      </c>
      <c r="B116" s="265" t="s">
        <v>100</v>
      </c>
      <c r="C116" s="9" t="s">
        <v>25</v>
      </c>
      <c r="D116" s="9" t="s">
        <v>16</v>
      </c>
      <c r="E116" s="11">
        <v>0</v>
      </c>
      <c r="F116" s="11">
        <v>0</v>
      </c>
      <c r="G116" s="11">
        <v>0</v>
      </c>
      <c r="H116" s="29">
        <v>0</v>
      </c>
    </row>
    <row r="117" spans="1:8" ht="14.5" thickBot="1">
      <c r="A117" s="287" t="s">
        <v>577</v>
      </c>
      <c r="B117" s="265" t="s">
        <v>101</v>
      </c>
      <c r="C117" s="10" t="s">
        <v>26</v>
      </c>
      <c r="D117" s="10" t="s">
        <v>13</v>
      </c>
      <c r="E117" s="12">
        <v>87.02287242441993</v>
      </c>
      <c r="F117" s="12">
        <v>2.2056403933444497</v>
      </c>
      <c r="G117" s="12">
        <v>84.284208155215239</v>
      </c>
      <c r="H117" s="28">
        <v>89.76153669362462</v>
      </c>
    </row>
    <row r="118" spans="1:8" ht="14.5" thickBot="1">
      <c r="A118" s="287" t="s">
        <v>578</v>
      </c>
      <c r="B118" s="265" t="s">
        <v>102</v>
      </c>
      <c r="C118" s="9" t="s">
        <v>27</v>
      </c>
      <c r="D118" s="9" t="s">
        <v>13</v>
      </c>
      <c r="E118" s="11">
        <v>91.8</v>
      </c>
      <c r="F118" s="11">
        <v>1.3038404810405297</v>
      </c>
      <c r="G118" s="11">
        <v>90.181068215406626</v>
      </c>
      <c r="H118" s="29">
        <v>93.418931784593369</v>
      </c>
    </row>
    <row r="119" spans="1:8" ht="14.5" thickBot="1">
      <c r="A119" s="287" t="s">
        <v>579</v>
      </c>
      <c r="B119" s="265" t="s">
        <v>103</v>
      </c>
      <c r="C119" s="10" t="s">
        <v>28</v>
      </c>
      <c r="D119" s="10" t="s">
        <v>29</v>
      </c>
      <c r="E119" s="12">
        <v>61.057648628989128</v>
      </c>
      <c r="F119" s="12">
        <v>3.4465096922754812</v>
      </c>
      <c r="G119" s="12">
        <v>56.778241624935191</v>
      </c>
      <c r="H119" s="28">
        <v>65.337055633043065</v>
      </c>
    </row>
    <row r="120" spans="1:8" ht="14.5" thickBot="1">
      <c r="A120" s="287" t="s">
        <v>580</v>
      </c>
      <c r="B120" s="265" t="s">
        <v>104</v>
      </c>
      <c r="C120" s="9" t="s">
        <v>30</v>
      </c>
      <c r="D120" s="9" t="s">
        <v>29</v>
      </c>
      <c r="E120" s="11">
        <v>80.131600000000006</v>
      </c>
      <c r="F120" s="11">
        <v>1.649876904499241</v>
      </c>
      <c r="G120" s="11">
        <v>78.083007246361376</v>
      </c>
      <c r="H120" s="29">
        <v>82.180192753638636</v>
      </c>
    </row>
    <row r="121" spans="1:8" ht="14.5" thickBot="1">
      <c r="A121" s="287" t="s">
        <v>581</v>
      </c>
      <c r="B121" s="265" t="s">
        <v>105</v>
      </c>
      <c r="C121" s="36" t="s">
        <v>31</v>
      </c>
      <c r="D121" s="36" t="s">
        <v>32</v>
      </c>
      <c r="E121" s="37">
        <v>0.13321260687125844</v>
      </c>
      <c r="F121" s="37">
        <v>2.5807012181686406E-3</v>
      </c>
      <c r="G121" s="37">
        <v>0.13000824307876613</v>
      </c>
      <c r="H121" s="38">
        <v>0.13641697066375075</v>
      </c>
    </row>
    <row r="122" spans="1:8" ht="14.5" thickBot="1">
      <c r="A122" s="287" t="s">
        <v>582</v>
      </c>
      <c r="B122" s="264" t="s">
        <v>4</v>
      </c>
      <c r="C122" s="25" t="s">
        <v>6</v>
      </c>
      <c r="D122" s="25" t="s">
        <v>7</v>
      </c>
      <c r="E122" s="26">
        <v>4.086352539999984</v>
      </c>
      <c r="F122" s="26">
        <v>0.27035697189291252</v>
      </c>
      <c r="G122" s="26">
        <v>3.7506600213610821</v>
      </c>
      <c r="H122" s="27">
        <v>4.4220450586388855</v>
      </c>
    </row>
    <row r="123" spans="1:8" ht="14.5" thickBot="1">
      <c r="A123" s="287" t="s">
        <v>583</v>
      </c>
      <c r="B123" s="264" t="s">
        <v>4</v>
      </c>
      <c r="C123" s="10" t="s">
        <v>8</v>
      </c>
      <c r="D123" s="10" t="s">
        <v>9</v>
      </c>
      <c r="E123" s="12">
        <v>1.3621175133333281</v>
      </c>
      <c r="F123" s="12">
        <v>9.0118990630970869E-2</v>
      </c>
      <c r="G123" s="12">
        <v>1.2502200071203609</v>
      </c>
      <c r="H123" s="28">
        <v>1.4740150195462953</v>
      </c>
    </row>
    <row r="124" spans="1:8" ht="14.5" thickBot="1">
      <c r="A124" s="287" t="s">
        <v>584</v>
      </c>
      <c r="B124" s="264" t="s">
        <v>4</v>
      </c>
      <c r="C124" s="9" t="s">
        <v>10</v>
      </c>
      <c r="D124" s="9" t="s">
        <v>11</v>
      </c>
      <c r="E124" s="11">
        <v>736.59025099646976</v>
      </c>
      <c r="F124" s="11">
        <v>46.139874420661897</v>
      </c>
      <c r="G124" s="11">
        <v>679.30003005077242</v>
      </c>
      <c r="H124" s="29">
        <v>793.88047194216711</v>
      </c>
    </row>
    <row r="125" spans="1:8" ht="14.5" thickBot="1">
      <c r="A125" s="287" t="s">
        <v>585</v>
      </c>
      <c r="B125" s="264" t="s">
        <v>4</v>
      </c>
      <c r="C125" s="291" t="s">
        <v>12</v>
      </c>
      <c r="D125" s="291" t="s">
        <v>13</v>
      </c>
      <c r="E125" s="292">
        <v>3.0302908503551098</v>
      </c>
      <c r="F125" s="292">
        <v>0.10559310465239791</v>
      </c>
      <c r="G125" s="292">
        <v>2.8991796938590051</v>
      </c>
      <c r="H125" s="293">
        <v>3.1614020068512145</v>
      </c>
    </row>
    <row r="126" spans="1:8" ht="14.5" thickBot="1">
      <c r="A126" s="287" t="s">
        <v>586</v>
      </c>
      <c r="B126" s="264" t="s">
        <v>4</v>
      </c>
      <c r="C126" s="9" t="s">
        <v>14</v>
      </c>
      <c r="D126" s="9" t="s">
        <v>13</v>
      </c>
      <c r="E126" s="11">
        <v>5.6556249999999997</v>
      </c>
      <c r="F126" s="11">
        <v>1.9948926486624539</v>
      </c>
      <c r="G126" s="11">
        <v>3.1786386180509405</v>
      </c>
      <c r="H126" s="29">
        <v>8.132611381949058</v>
      </c>
    </row>
    <row r="127" spans="1:8" ht="14.5" thickBot="1">
      <c r="A127" s="287" t="s">
        <v>587</v>
      </c>
      <c r="B127" s="264" t="s">
        <v>4</v>
      </c>
      <c r="C127" s="10" t="s">
        <v>15</v>
      </c>
      <c r="D127" s="10" t="s">
        <v>16</v>
      </c>
      <c r="E127" s="12">
        <v>6180.19140625</v>
      </c>
      <c r="F127" s="12">
        <v>10.049392028942208</v>
      </c>
      <c r="G127" s="12">
        <v>6167.7134379647159</v>
      </c>
      <c r="H127" s="28">
        <v>6192.6693745352841</v>
      </c>
    </row>
    <row r="128" spans="1:8" ht="14.5" thickBot="1">
      <c r="A128" s="287" t="s">
        <v>588</v>
      </c>
      <c r="B128" s="264" t="s">
        <v>4</v>
      </c>
      <c r="C128" s="297" t="s">
        <v>17</v>
      </c>
      <c r="D128" s="297" t="s">
        <v>16</v>
      </c>
      <c r="E128" s="298">
        <v>6423.2861721001109</v>
      </c>
      <c r="F128" s="298">
        <v>2.6499659759515422</v>
      </c>
      <c r="G128" s="298">
        <v>6419.9958047515411</v>
      </c>
      <c r="H128" s="299">
        <v>6426.5765394486807</v>
      </c>
    </row>
    <row r="129" spans="1:8" ht="14.5" thickBot="1">
      <c r="A129" s="287" t="s">
        <v>589</v>
      </c>
      <c r="B129" s="264" t="s">
        <v>4</v>
      </c>
      <c r="C129" s="10" t="s">
        <v>18</v>
      </c>
      <c r="D129" s="10" t="s">
        <v>16</v>
      </c>
      <c r="E129" s="12">
        <v>6442.6828125000002</v>
      </c>
      <c r="F129" s="12">
        <v>0.84552673896725095</v>
      </c>
      <c r="G129" s="12">
        <v>6441.6329523887807</v>
      </c>
      <c r="H129" s="28">
        <v>6443.7326726112196</v>
      </c>
    </row>
    <row r="130" spans="1:8" ht="14.5" thickBot="1">
      <c r="A130" s="287" t="s">
        <v>590</v>
      </c>
      <c r="B130" s="264" t="s">
        <v>4</v>
      </c>
      <c r="C130" s="9" t="s">
        <v>19</v>
      </c>
      <c r="D130" s="9" t="s">
        <v>16</v>
      </c>
      <c r="E130" s="11">
        <v>243.09476585011126</v>
      </c>
      <c r="F130" s="11">
        <v>7.4247855115124786</v>
      </c>
      <c r="G130" s="11">
        <v>233.87567698673806</v>
      </c>
      <c r="H130" s="29">
        <v>252.31385471348446</v>
      </c>
    </row>
    <row r="131" spans="1:8" ht="14.5" thickBot="1">
      <c r="A131" s="287" t="s">
        <v>591</v>
      </c>
      <c r="B131" s="264" t="s">
        <v>4</v>
      </c>
      <c r="C131" s="10" t="s">
        <v>20</v>
      </c>
      <c r="D131" s="10" t="s">
        <v>16</v>
      </c>
      <c r="E131" s="12">
        <v>262.49140625000001</v>
      </c>
      <c r="F131" s="12">
        <v>9.2644727328159284</v>
      </c>
      <c r="G131" s="12">
        <v>250.98804399614153</v>
      </c>
      <c r="H131" s="28">
        <v>273.9947685038585</v>
      </c>
    </row>
    <row r="132" spans="1:8" ht="14.5" thickBot="1">
      <c r="A132" s="287" t="s">
        <v>592</v>
      </c>
      <c r="B132" s="264" t="s">
        <v>4</v>
      </c>
      <c r="C132" s="9" t="s">
        <v>21</v>
      </c>
      <c r="D132" s="9" t="s">
        <v>16</v>
      </c>
      <c r="E132" s="11">
        <v>7005.42578125</v>
      </c>
      <c r="F132" s="11">
        <v>0</v>
      </c>
      <c r="G132" s="11">
        <v>7005.42578125</v>
      </c>
      <c r="H132" s="29">
        <v>7005.42578125</v>
      </c>
    </row>
    <row r="133" spans="1:8" ht="14.5" thickBot="1">
      <c r="A133" s="287" t="s">
        <v>593</v>
      </c>
      <c r="B133" s="264" t="s">
        <v>4</v>
      </c>
      <c r="C133" s="282" t="s">
        <v>22</v>
      </c>
      <c r="D133" s="282" t="s">
        <v>16</v>
      </c>
      <c r="E133" s="283">
        <v>7005.42578125</v>
      </c>
      <c r="F133" s="283">
        <v>0</v>
      </c>
      <c r="G133" s="283">
        <v>7005.42578125</v>
      </c>
      <c r="H133" s="284">
        <v>7005.42578125</v>
      </c>
    </row>
    <row r="134" spans="1:8" ht="14.5" thickBot="1">
      <c r="A134" s="287" t="s">
        <v>594</v>
      </c>
      <c r="B134" s="264" t="s">
        <v>4</v>
      </c>
      <c r="C134" s="9" t="s">
        <v>23</v>
      </c>
      <c r="D134" s="9" t="s">
        <v>16</v>
      </c>
      <c r="E134" s="11">
        <v>7005.42578125</v>
      </c>
      <c r="F134" s="11">
        <v>0</v>
      </c>
      <c r="G134" s="11">
        <v>7005.42578125</v>
      </c>
      <c r="H134" s="29">
        <v>7005.42578125</v>
      </c>
    </row>
    <row r="135" spans="1:8" ht="14.5" thickBot="1">
      <c r="A135" s="287" t="s">
        <v>595</v>
      </c>
      <c r="B135" s="264" t="s">
        <v>4</v>
      </c>
      <c r="C135" s="10" t="s">
        <v>24</v>
      </c>
      <c r="D135" s="10" t="s">
        <v>16</v>
      </c>
      <c r="E135" s="12">
        <v>0</v>
      </c>
      <c r="F135" s="12">
        <v>0</v>
      </c>
      <c r="G135" s="12">
        <v>0</v>
      </c>
      <c r="H135" s="28">
        <v>0</v>
      </c>
    </row>
    <row r="136" spans="1:8" ht="14.5" thickBot="1">
      <c r="A136" s="287" t="s">
        <v>596</v>
      </c>
      <c r="B136" s="264" t="s">
        <v>4</v>
      </c>
      <c r="C136" s="9" t="s">
        <v>25</v>
      </c>
      <c r="D136" s="9" t="s">
        <v>16</v>
      </c>
      <c r="E136" s="11">
        <v>0</v>
      </c>
      <c r="F136" s="11">
        <v>0</v>
      </c>
      <c r="G136" s="11">
        <v>0</v>
      </c>
      <c r="H136" s="29">
        <v>0</v>
      </c>
    </row>
    <row r="137" spans="1:8" ht="14.5" thickBot="1">
      <c r="A137" s="287" t="s">
        <v>597</v>
      </c>
      <c r="B137" s="264" t="s">
        <v>4</v>
      </c>
      <c r="C137" s="10" t="s">
        <v>26</v>
      </c>
      <c r="D137" s="10" t="s">
        <v>13</v>
      </c>
      <c r="E137" s="12">
        <v>83.282407112884471</v>
      </c>
      <c r="F137" s="12">
        <v>3.3103527600918681</v>
      </c>
      <c r="G137" s="12">
        <v>79.172061269616762</v>
      </c>
      <c r="H137" s="28">
        <v>87.392752956152179</v>
      </c>
    </row>
    <row r="138" spans="1:8" ht="14.5" thickBot="1">
      <c r="A138" s="287" t="s">
        <v>598</v>
      </c>
      <c r="B138" s="264" t="s">
        <v>4</v>
      </c>
      <c r="C138" s="9" t="s">
        <v>27</v>
      </c>
      <c r="D138" s="9" t="s">
        <v>13</v>
      </c>
      <c r="E138" s="11">
        <v>92.4</v>
      </c>
      <c r="F138" s="11">
        <v>0.54772255750516607</v>
      </c>
      <c r="G138" s="11">
        <v>91.7199126193902</v>
      </c>
      <c r="H138" s="29">
        <v>93.080087380609811</v>
      </c>
    </row>
    <row r="139" spans="1:8" ht="14.5" thickBot="1">
      <c r="A139" s="287" t="s">
        <v>599</v>
      </c>
      <c r="B139" s="264" t="s">
        <v>4</v>
      </c>
      <c r="C139" s="10" t="s">
        <v>28</v>
      </c>
      <c r="D139" s="10" t="s">
        <v>29</v>
      </c>
      <c r="E139" s="12">
        <v>54.126029959768637</v>
      </c>
      <c r="F139" s="12">
        <v>3.1629263529648961</v>
      </c>
      <c r="G139" s="12">
        <v>50.198738178601971</v>
      </c>
      <c r="H139" s="28">
        <v>58.053321740935303</v>
      </c>
    </row>
    <row r="140" spans="1:8" ht="14.5" thickBot="1">
      <c r="A140" s="287" t="s">
        <v>600</v>
      </c>
      <c r="B140" s="264" t="s">
        <v>4</v>
      </c>
      <c r="C140" s="9" t="s">
        <v>30</v>
      </c>
      <c r="D140" s="9" t="s">
        <v>29</v>
      </c>
      <c r="E140" s="11">
        <v>80.356200000000001</v>
      </c>
      <c r="F140" s="11">
        <v>5.9407374710552565</v>
      </c>
      <c r="G140" s="11">
        <v>72.979800159936104</v>
      </c>
      <c r="H140" s="29">
        <v>87.732599840063898</v>
      </c>
    </row>
    <row r="141" spans="1:8" ht="14.5" thickBot="1">
      <c r="A141" s="287" t="s">
        <v>601</v>
      </c>
      <c r="B141" s="264" t="s">
        <v>4</v>
      </c>
      <c r="C141" s="36" t="s">
        <v>31</v>
      </c>
      <c r="D141" s="36" t="s">
        <v>32</v>
      </c>
      <c r="E141" s="37">
        <v>6.1992135228391677E-2</v>
      </c>
      <c r="F141" s="37">
        <v>1.6968718279052539E-3</v>
      </c>
      <c r="G141" s="37">
        <v>5.988519057026561E-2</v>
      </c>
      <c r="H141" s="38">
        <v>6.4099079886517751E-2</v>
      </c>
    </row>
    <row r="142" spans="1:8" ht="14.5" thickBot="1">
      <c r="A142" s="287" t="s">
        <v>602</v>
      </c>
      <c r="B142" s="265" t="s">
        <v>5</v>
      </c>
      <c r="C142" s="25" t="s">
        <v>6</v>
      </c>
      <c r="D142" s="25" t="s">
        <v>7</v>
      </c>
      <c r="E142" s="26">
        <v>3.227596060000002</v>
      </c>
      <c r="F142" s="26">
        <v>0.20855082639630615</v>
      </c>
      <c r="G142" s="26">
        <v>2.9686460070865128</v>
      </c>
      <c r="H142" s="27">
        <v>3.4865461129134911</v>
      </c>
    </row>
    <row r="143" spans="1:8" ht="14.5" thickBot="1">
      <c r="A143" s="287" t="s">
        <v>603</v>
      </c>
      <c r="B143" s="265" t="s">
        <v>5</v>
      </c>
      <c r="C143" s="10" t="s">
        <v>8</v>
      </c>
      <c r="D143" s="10" t="s">
        <v>9</v>
      </c>
      <c r="E143" s="12">
        <v>1.304079216161617</v>
      </c>
      <c r="F143" s="12">
        <v>8.4262960160123662E-2</v>
      </c>
      <c r="G143" s="12">
        <v>1.1994529321561669</v>
      </c>
      <c r="H143" s="28">
        <v>1.4087055001670672</v>
      </c>
    </row>
    <row r="144" spans="1:8" ht="14.5" thickBot="1">
      <c r="A144" s="287" t="s">
        <v>604</v>
      </c>
      <c r="B144" s="265" t="s">
        <v>5</v>
      </c>
      <c r="C144" s="9" t="s">
        <v>10</v>
      </c>
      <c r="D144" s="9" t="s">
        <v>11</v>
      </c>
      <c r="E144" s="11">
        <v>769.21946889949788</v>
      </c>
      <c r="F144" s="11">
        <v>46.3512770283956</v>
      </c>
      <c r="G144" s="11">
        <v>711.66675694666992</v>
      </c>
      <c r="H144" s="29">
        <v>826.77218085232585</v>
      </c>
    </row>
    <row r="145" spans="1:8" ht="14.5" thickBot="1">
      <c r="A145" s="287" t="s">
        <v>605</v>
      </c>
      <c r="B145" s="265" t="s">
        <v>5</v>
      </c>
      <c r="C145" s="291" t="s">
        <v>12</v>
      </c>
      <c r="D145" s="291" t="s">
        <v>13</v>
      </c>
      <c r="E145" s="292">
        <v>2.8984597120098043</v>
      </c>
      <c r="F145" s="292">
        <v>0.14206668483931661</v>
      </c>
      <c r="G145" s="292">
        <v>2.7220606241132312</v>
      </c>
      <c r="H145" s="293">
        <v>3.0748587999063774</v>
      </c>
    </row>
    <row r="146" spans="1:8" ht="14.5" thickBot="1">
      <c r="A146" s="287" t="s">
        <v>606</v>
      </c>
      <c r="B146" s="265" t="s">
        <v>5</v>
      </c>
      <c r="C146" s="9" t="s">
        <v>14</v>
      </c>
      <c r="D146" s="9" t="s">
        <v>13</v>
      </c>
      <c r="E146" s="11">
        <v>4.1256249999999994</v>
      </c>
      <c r="F146" s="11">
        <v>0.44005060078359148</v>
      </c>
      <c r="G146" s="11">
        <v>3.5792300116580016</v>
      </c>
      <c r="H146" s="29">
        <v>4.6720199883419973</v>
      </c>
    </row>
    <row r="147" spans="1:8" ht="14.5" thickBot="1">
      <c r="A147" s="287" t="s">
        <v>607</v>
      </c>
      <c r="B147" s="265" t="s">
        <v>5</v>
      </c>
      <c r="C147" s="10" t="s">
        <v>15</v>
      </c>
      <c r="D147" s="10" t="s">
        <v>16</v>
      </c>
      <c r="E147" s="12">
        <v>5145.5656250000002</v>
      </c>
      <c r="F147" s="12">
        <v>9.7007294528042536</v>
      </c>
      <c r="G147" s="12">
        <v>5133.5205784829959</v>
      </c>
      <c r="H147" s="28">
        <v>5157.6106715170044</v>
      </c>
    </row>
    <row r="148" spans="1:8" ht="14.5" thickBot="1">
      <c r="A148" s="287" t="s">
        <v>608</v>
      </c>
      <c r="B148" s="265" t="s">
        <v>5</v>
      </c>
      <c r="C148" s="297" t="s">
        <v>17</v>
      </c>
      <c r="D148" s="297" t="s">
        <v>16</v>
      </c>
      <c r="E148" s="298">
        <v>5347.9604168581491</v>
      </c>
      <c r="F148" s="298">
        <v>3.5590189995870203</v>
      </c>
      <c r="G148" s="298">
        <v>5343.5413110977534</v>
      </c>
      <c r="H148" s="299">
        <v>5352.3795226185448</v>
      </c>
    </row>
    <row r="149" spans="1:8" ht="14.5" thickBot="1">
      <c r="A149" s="287" t="s">
        <v>609</v>
      </c>
      <c r="B149" s="265" t="s">
        <v>5</v>
      </c>
      <c r="C149" s="10" t="s">
        <v>18</v>
      </c>
      <c r="D149" s="10" t="s">
        <v>16</v>
      </c>
      <c r="E149" s="12">
        <v>5369.3374999999996</v>
      </c>
      <c r="F149" s="12">
        <v>0.77868524321950039</v>
      </c>
      <c r="G149" s="12">
        <v>5368.3706345676301</v>
      </c>
      <c r="H149" s="28">
        <v>5370.3043654323692</v>
      </c>
    </row>
    <row r="150" spans="1:8" ht="14.5" thickBot="1">
      <c r="A150" s="287" t="s">
        <v>610</v>
      </c>
      <c r="B150" s="265" t="s">
        <v>5</v>
      </c>
      <c r="C150" s="9" t="s">
        <v>19</v>
      </c>
      <c r="D150" s="9" t="s">
        <v>16</v>
      </c>
      <c r="E150" s="11">
        <v>202.39479185814943</v>
      </c>
      <c r="F150" s="11">
        <v>6.2155404528415943</v>
      </c>
      <c r="G150" s="11">
        <v>194.67717904902671</v>
      </c>
      <c r="H150" s="29">
        <v>210.11240466727216</v>
      </c>
    </row>
    <row r="151" spans="1:8" ht="14.5" thickBot="1">
      <c r="A151" s="287" t="s">
        <v>611</v>
      </c>
      <c r="B151" s="265" t="s">
        <v>5</v>
      </c>
      <c r="C151" s="10" t="s">
        <v>20</v>
      </c>
      <c r="D151" s="10" t="s">
        <v>16</v>
      </c>
      <c r="E151" s="12">
        <v>223.77187499999999</v>
      </c>
      <c r="F151" s="12">
        <v>8.9544706974332886</v>
      </c>
      <c r="G151" s="12">
        <v>212.65343111281859</v>
      </c>
      <c r="H151" s="28">
        <v>234.89031888718139</v>
      </c>
    </row>
    <row r="152" spans="1:8" ht="14.5" thickBot="1">
      <c r="A152" s="287" t="s">
        <v>612</v>
      </c>
      <c r="B152" s="265" t="s">
        <v>5</v>
      </c>
      <c r="C152" s="9" t="s">
        <v>21</v>
      </c>
      <c r="D152" s="9" t="s">
        <v>16</v>
      </c>
      <c r="E152" s="11">
        <v>7005.42578125</v>
      </c>
      <c r="F152" s="11">
        <v>0</v>
      </c>
      <c r="G152" s="11">
        <v>7005.42578125</v>
      </c>
      <c r="H152" s="29">
        <v>7005.42578125</v>
      </c>
    </row>
    <row r="153" spans="1:8" ht="14.5" thickBot="1">
      <c r="A153" s="287" t="s">
        <v>613</v>
      </c>
      <c r="B153" s="265" t="s">
        <v>5</v>
      </c>
      <c r="C153" s="282" t="s">
        <v>22</v>
      </c>
      <c r="D153" s="282" t="s">
        <v>16</v>
      </c>
      <c r="E153" s="283">
        <v>7005.42578125</v>
      </c>
      <c r="F153" s="283">
        <v>0</v>
      </c>
      <c r="G153" s="283">
        <v>7005.42578125</v>
      </c>
      <c r="H153" s="284">
        <v>7005.42578125</v>
      </c>
    </row>
    <row r="154" spans="1:8" ht="14.5" thickBot="1">
      <c r="A154" s="287" t="s">
        <v>614</v>
      </c>
      <c r="B154" s="265" t="s">
        <v>5</v>
      </c>
      <c r="C154" s="9" t="s">
        <v>23</v>
      </c>
      <c r="D154" s="9" t="s">
        <v>16</v>
      </c>
      <c r="E154" s="11">
        <v>7005.42578125</v>
      </c>
      <c r="F154" s="11">
        <v>0</v>
      </c>
      <c r="G154" s="11">
        <v>7005.42578125</v>
      </c>
      <c r="H154" s="29">
        <v>7005.42578125</v>
      </c>
    </row>
    <row r="155" spans="1:8" ht="14.5" thickBot="1">
      <c r="A155" s="287" t="s">
        <v>615</v>
      </c>
      <c r="B155" s="265" t="s">
        <v>5</v>
      </c>
      <c r="C155" s="10" t="s">
        <v>24</v>
      </c>
      <c r="D155" s="10" t="s">
        <v>16</v>
      </c>
      <c r="E155" s="12">
        <v>0</v>
      </c>
      <c r="F155" s="12">
        <v>0</v>
      </c>
      <c r="G155" s="12">
        <v>0</v>
      </c>
      <c r="H155" s="28">
        <v>0</v>
      </c>
    </row>
    <row r="156" spans="1:8" ht="14.5" thickBot="1">
      <c r="A156" s="287" t="s">
        <v>616</v>
      </c>
      <c r="B156" s="265" t="s">
        <v>5</v>
      </c>
      <c r="C156" s="9" t="s">
        <v>25</v>
      </c>
      <c r="D156" s="9" t="s">
        <v>16</v>
      </c>
      <c r="E156" s="11">
        <v>0</v>
      </c>
      <c r="F156" s="11">
        <v>0</v>
      </c>
      <c r="G156" s="11">
        <v>0</v>
      </c>
      <c r="H156" s="29">
        <v>0</v>
      </c>
    </row>
    <row r="157" spans="1:8" ht="14.5" thickBot="1">
      <c r="A157" s="287" t="s">
        <v>617</v>
      </c>
      <c r="B157" s="265" t="s">
        <v>5</v>
      </c>
      <c r="C157" s="10" t="s">
        <v>26</v>
      </c>
      <c r="D157" s="10" t="s">
        <v>13</v>
      </c>
      <c r="E157" s="12">
        <v>77.995784313725494</v>
      </c>
      <c r="F157" s="12">
        <v>4.6438217763087328</v>
      </c>
      <c r="G157" s="12">
        <v>72.229718000419055</v>
      </c>
      <c r="H157" s="28">
        <v>83.761850627031933</v>
      </c>
    </row>
    <row r="158" spans="1:8" ht="14.5" thickBot="1">
      <c r="A158" s="287" t="s">
        <v>618</v>
      </c>
      <c r="B158" s="265" t="s">
        <v>5</v>
      </c>
      <c r="C158" s="9" t="s">
        <v>27</v>
      </c>
      <c r="D158" s="9" t="s">
        <v>13</v>
      </c>
      <c r="E158" s="11">
        <v>92.6</v>
      </c>
      <c r="F158" s="11">
        <v>3.3615472627943221</v>
      </c>
      <c r="G158" s="11">
        <v>88.426087785825231</v>
      </c>
      <c r="H158" s="29">
        <v>96.773912214174757</v>
      </c>
    </row>
    <row r="159" spans="1:8" ht="14.5" thickBot="1">
      <c r="A159" s="287" t="s">
        <v>619</v>
      </c>
      <c r="B159" s="265" t="s">
        <v>5</v>
      </c>
      <c r="C159" s="10" t="s">
        <v>28</v>
      </c>
      <c r="D159" s="10" t="s">
        <v>29</v>
      </c>
      <c r="E159" s="12">
        <v>53.666874460784314</v>
      </c>
      <c r="F159" s="12">
        <v>1.4523168756891798</v>
      </c>
      <c r="G159" s="12">
        <v>51.863584882385751</v>
      </c>
      <c r="H159" s="28">
        <v>55.470164039182876</v>
      </c>
    </row>
    <row r="160" spans="1:8" ht="14.5" thickBot="1">
      <c r="A160" s="287" t="s">
        <v>620</v>
      </c>
      <c r="B160" s="265" t="s">
        <v>5</v>
      </c>
      <c r="C160" s="9" t="s">
        <v>30</v>
      </c>
      <c r="D160" s="9" t="s">
        <v>29</v>
      </c>
      <c r="E160" s="11">
        <v>82.794600000000003</v>
      </c>
      <c r="F160" s="11">
        <v>3.6222244960797205</v>
      </c>
      <c r="G160" s="11">
        <v>78.297014250126452</v>
      </c>
      <c r="H160" s="29">
        <v>87.292185749873553</v>
      </c>
    </row>
    <row r="161" spans="1:8" ht="14.5" thickBot="1">
      <c r="A161" s="287" t="s">
        <v>621</v>
      </c>
      <c r="B161" s="265" t="s">
        <v>5</v>
      </c>
      <c r="C161" s="36" t="s">
        <v>31</v>
      </c>
      <c r="D161" s="36" t="s">
        <v>32</v>
      </c>
      <c r="E161" s="37">
        <v>4.864688918762787E-2</v>
      </c>
      <c r="F161" s="37">
        <v>1.4760933670490168E-3</v>
      </c>
      <c r="G161" s="37">
        <v>4.6814077195906301E-2</v>
      </c>
      <c r="H161" s="38">
        <v>5.047970117934944E-2</v>
      </c>
    </row>
    <row r="162" spans="1:8" ht="14.5" thickBot="1">
      <c r="A162" s="286" t="s">
        <v>68</v>
      </c>
      <c r="B162" s="264" t="s">
        <v>2</v>
      </c>
      <c r="C162" s="25" t="s">
        <v>6</v>
      </c>
      <c r="D162" s="25" t="s">
        <v>7</v>
      </c>
      <c r="E162" s="26">
        <v>20.674768640000003</v>
      </c>
      <c r="F162" s="26">
        <v>0.45824244534323805</v>
      </c>
      <c r="G162" s="26">
        <v>20.105785493208984</v>
      </c>
      <c r="H162" s="27">
        <v>21.243751786791023</v>
      </c>
    </row>
    <row r="163" spans="1:8" ht="14.5" thickBot="1">
      <c r="A163" s="286" t="s">
        <v>464</v>
      </c>
      <c r="B163" s="264" t="s">
        <v>2</v>
      </c>
      <c r="C163" s="10" t="s">
        <v>8</v>
      </c>
      <c r="D163" s="10" t="s">
        <v>9</v>
      </c>
      <c r="E163" s="12">
        <v>1.1485982577777778</v>
      </c>
      <c r="F163" s="12">
        <v>2.5457913630179952E-2</v>
      </c>
      <c r="G163" s="12">
        <v>1.1169880829560543</v>
      </c>
      <c r="H163" s="28">
        <v>1.1802084325995013</v>
      </c>
    </row>
    <row r="164" spans="1:8" ht="14.5" thickBot="1">
      <c r="A164" s="286" t="s">
        <v>465</v>
      </c>
      <c r="B164" s="264" t="s">
        <v>2</v>
      </c>
      <c r="C164" s="9" t="s">
        <v>10</v>
      </c>
      <c r="D164" s="9" t="s">
        <v>11</v>
      </c>
      <c r="E164" s="11">
        <v>870.96408200607402</v>
      </c>
      <c r="F164" s="11">
        <v>19.045351482024472</v>
      </c>
      <c r="G164" s="11">
        <v>847.31615473939223</v>
      </c>
      <c r="H164" s="29">
        <v>894.61200927275581</v>
      </c>
    </row>
    <row r="165" spans="1:8" ht="14.5" thickBot="1">
      <c r="A165" s="286" t="s">
        <v>466</v>
      </c>
      <c r="B165" s="264" t="s">
        <v>2</v>
      </c>
      <c r="C165" s="291" t="s">
        <v>12</v>
      </c>
      <c r="D165" s="291" t="s">
        <v>13</v>
      </c>
      <c r="E165" s="292">
        <v>3.2282367529441669</v>
      </c>
      <c r="F165" s="292">
        <v>1.8813805550489168E-2</v>
      </c>
      <c r="G165" s="292">
        <v>3.2048763279245827</v>
      </c>
      <c r="H165" s="293">
        <v>3.2515971779637511</v>
      </c>
    </row>
    <row r="166" spans="1:8" ht="14.5" thickBot="1">
      <c r="A166" s="286" t="s">
        <v>467</v>
      </c>
      <c r="B166" s="264" t="s">
        <v>2</v>
      </c>
      <c r="C166" s="9" t="s">
        <v>14</v>
      </c>
      <c r="D166" s="9" t="s">
        <v>13</v>
      </c>
      <c r="E166" s="11">
        <v>4.9187499999999993</v>
      </c>
      <c r="F166" s="11">
        <v>2.0963137289060529E-2</v>
      </c>
      <c r="G166" s="11">
        <v>4.8927208271406242</v>
      </c>
      <c r="H166" s="29">
        <v>4.9447791728593744</v>
      </c>
    </row>
    <row r="167" spans="1:8" ht="14.5" thickBot="1">
      <c r="A167" s="286" t="s">
        <v>468</v>
      </c>
      <c r="B167" s="264" t="s">
        <v>2</v>
      </c>
      <c r="C167" s="10" t="s">
        <v>15</v>
      </c>
      <c r="D167" s="10" t="s">
        <v>16</v>
      </c>
      <c r="E167" s="12">
        <v>7158.2273437499998</v>
      </c>
      <c r="F167" s="12">
        <v>0.76417073300388016</v>
      </c>
      <c r="G167" s="12">
        <v>7157.2785004624156</v>
      </c>
      <c r="H167" s="28">
        <v>7159.176187037584</v>
      </c>
    </row>
    <row r="168" spans="1:8" ht="14.5" thickBot="1">
      <c r="A168" s="286" t="s">
        <v>469</v>
      </c>
      <c r="B168" s="264" t="s">
        <v>2</v>
      </c>
      <c r="C168" s="297" t="s">
        <v>17</v>
      </c>
      <c r="D168" s="297" t="s">
        <v>16</v>
      </c>
      <c r="E168" s="298">
        <v>8495.1065455739899</v>
      </c>
      <c r="F168" s="298">
        <v>1.0800232665253289</v>
      </c>
      <c r="G168" s="298">
        <v>8493.7655195668194</v>
      </c>
      <c r="H168" s="299">
        <v>8496.4475715811604</v>
      </c>
    </row>
    <row r="169" spans="1:8" ht="14.5" thickBot="1">
      <c r="A169" s="286" t="s">
        <v>470</v>
      </c>
      <c r="B169" s="264" t="s">
        <v>2</v>
      </c>
      <c r="C169" s="10" t="s">
        <v>18</v>
      </c>
      <c r="D169" s="10" t="s">
        <v>16</v>
      </c>
      <c r="E169" s="12">
        <v>8516.1984374999993</v>
      </c>
      <c r="F169" s="12">
        <v>0.4612055629424503</v>
      </c>
      <c r="G169" s="12">
        <v>8515.6257751567628</v>
      </c>
      <c r="H169" s="28">
        <v>8516.7710998432358</v>
      </c>
    </row>
    <row r="170" spans="1:8" ht="14.5" thickBot="1">
      <c r="A170" s="286" t="s">
        <v>471</v>
      </c>
      <c r="B170" s="264" t="s">
        <v>2</v>
      </c>
      <c r="C170" s="9" t="s">
        <v>19</v>
      </c>
      <c r="D170" s="9" t="s">
        <v>16</v>
      </c>
      <c r="E170" s="11">
        <v>1336.8792018239899</v>
      </c>
      <c r="F170" s="11">
        <v>0.71974752766482808</v>
      </c>
      <c r="G170" s="11">
        <v>1335.9855172311559</v>
      </c>
      <c r="H170" s="29">
        <v>1337.7728864168239</v>
      </c>
    </row>
    <row r="171" spans="1:8" ht="14.5" thickBot="1">
      <c r="A171" s="286" t="s">
        <v>472</v>
      </c>
      <c r="B171" s="264" t="s">
        <v>2</v>
      </c>
      <c r="C171" s="10" t="s">
        <v>20</v>
      </c>
      <c r="D171" s="10" t="s">
        <v>16</v>
      </c>
      <c r="E171" s="12">
        <v>1357.9710937499999</v>
      </c>
      <c r="F171" s="12">
        <v>0.48712049531211987</v>
      </c>
      <c r="G171" s="12">
        <v>1357.3662537682267</v>
      </c>
      <c r="H171" s="28">
        <v>1358.5759337317731</v>
      </c>
    </row>
    <row r="172" spans="1:8" ht="14.5" thickBot="1">
      <c r="A172" s="286" t="s">
        <v>473</v>
      </c>
      <c r="B172" s="264" t="s">
        <v>2</v>
      </c>
      <c r="C172" s="9" t="s">
        <v>21</v>
      </c>
      <c r="D172" s="9" t="s">
        <v>16</v>
      </c>
      <c r="E172" s="11">
        <v>7000.55859375</v>
      </c>
      <c r="F172" s="11">
        <v>0</v>
      </c>
      <c r="G172" s="11">
        <v>7000.55859375</v>
      </c>
      <c r="H172" s="29">
        <v>7000.55859375</v>
      </c>
    </row>
    <row r="173" spans="1:8" ht="14.5" thickBot="1">
      <c r="A173" s="286" t="s">
        <v>474</v>
      </c>
      <c r="B173" s="264" t="s">
        <v>2</v>
      </c>
      <c r="C173" s="282" t="s">
        <v>22</v>
      </c>
      <c r="D173" s="282" t="s">
        <v>16</v>
      </c>
      <c r="E173" s="283">
        <v>7000.55859375</v>
      </c>
      <c r="F173" s="283">
        <v>0</v>
      </c>
      <c r="G173" s="283">
        <v>7000.55859375</v>
      </c>
      <c r="H173" s="284">
        <v>7000.55859375</v>
      </c>
    </row>
    <row r="174" spans="1:8" ht="14.5" thickBot="1">
      <c r="A174" s="286" t="s">
        <v>475</v>
      </c>
      <c r="B174" s="264" t="s">
        <v>2</v>
      </c>
      <c r="C174" s="9" t="s">
        <v>23</v>
      </c>
      <c r="D174" s="9" t="s">
        <v>16</v>
      </c>
      <c r="E174" s="11">
        <v>7000.55859375</v>
      </c>
      <c r="F174" s="11">
        <v>0</v>
      </c>
      <c r="G174" s="11">
        <v>7000.55859375</v>
      </c>
      <c r="H174" s="29">
        <v>7000.55859375</v>
      </c>
    </row>
    <row r="175" spans="1:8" ht="14.5" thickBot="1">
      <c r="A175" s="286" t="s">
        <v>476</v>
      </c>
      <c r="B175" s="264" t="s">
        <v>2</v>
      </c>
      <c r="C175" s="10" t="s">
        <v>24</v>
      </c>
      <c r="D175" s="10" t="s">
        <v>16</v>
      </c>
      <c r="E175" s="12">
        <v>0</v>
      </c>
      <c r="F175" s="12">
        <v>0</v>
      </c>
      <c r="G175" s="12">
        <v>0</v>
      </c>
      <c r="H175" s="28">
        <v>0</v>
      </c>
    </row>
    <row r="176" spans="1:8" ht="14.5" thickBot="1">
      <c r="A176" s="286" t="s">
        <v>477</v>
      </c>
      <c r="B176" s="264" t="s">
        <v>2</v>
      </c>
      <c r="C176" s="9" t="s">
        <v>25</v>
      </c>
      <c r="D176" s="9" t="s">
        <v>16</v>
      </c>
      <c r="E176" s="11">
        <v>0</v>
      </c>
      <c r="F176" s="11">
        <v>0</v>
      </c>
      <c r="G176" s="11">
        <v>0</v>
      </c>
      <c r="H176" s="29">
        <v>0</v>
      </c>
    </row>
    <row r="177" spans="1:8" ht="14.5" thickBot="1">
      <c r="A177" s="286" t="s">
        <v>478</v>
      </c>
      <c r="B177" s="264" t="s">
        <v>2</v>
      </c>
      <c r="C177" s="10" t="s">
        <v>26</v>
      </c>
      <c r="D177" s="10" t="s">
        <v>13</v>
      </c>
      <c r="E177" s="12">
        <v>88.188300769859296</v>
      </c>
      <c r="F177" s="12">
        <v>1.0866717059816735</v>
      </c>
      <c r="G177" s="12">
        <v>86.839019634771304</v>
      </c>
      <c r="H177" s="28">
        <v>89.537581904947288</v>
      </c>
    </row>
    <row r="178" spans="1:8" ht="14.5" thickBot="1">
      <c r="A178" s="286" t="s">
        <v>479</v>
      </c>
      <c r="B178" s="264" t="s">
        <v>2</v>
      </c>
      <c r="C178" s="9" t="s">
        <v>27</v>
      </c>
      <c r="D178" s="9" t="s">
        <v>13</v>
      </c>
      <c r="E178" s="11">
        <v>100</v>
      </c>
      <c r="F178" s="11">
        <v>0</v>
      </c>
      <c r="G178" s="11">
        <v>100</v>
      </c>
      <c r="H178" s="29">
        <v>100</v>
      </c>
    </row>
    <row r="179" spans="1:8" ht="14.5" thickBot="1">
      <c r="A179" s="286" t="s">
        <v>480</v>
      </c>
      <c r="B179" s="264" t="s">
        <v>2</v>
      </c>
      <c r="C179" s="10" t="s">
        <v>28</v>
      </c>
      <c r="D179" s="10" t="s">
        <v>29</v>
      </c>
      <c r="E179" s="12">
        <v>63.506103298394002</v>
      </c>
      <c r="F179" s="12">
        <v>1.5349469700108422</v>
      </c>
      <c r="G179" s="12">
        <v>61.600214906715365</v>
      </c>
      <c r="H179" s="28">
        <v>65.411991690072639</v>
      </c>
    </row>
    <row r="180" spans="1:8" ht="14.5" thickBot="1">
      <c r="A180" s="286" t="s">
        <v>481</v>
      </c>
      <c r="B180" s="264" t="s">
        <v>2</v>
      </c>
      <c r="C180" s="9" t="s">
        <v>30</v>
      </c>
      <c r="D180" s="9" t="s">
        <v>29</v>
      </c>
      <c r="E180" s="11">
        <v>84.117599999999996</v>
      </c>
      <c r="F180" s="11">
        <v>8.2322778318032981</v>
      </c>
      <c r="G180" s="11">
        <v>73.895876993767089</v>
      </c>
      <c r="H180" s="29">
        <v>94.339323006232902</v>
      </c>
    </row>
    <row r="181" spans="1:8" ht="14.5" thickBot="1">
      <c r="A181" s="286" t="s">
        <v>482</v>
      </c>
      <c r="B181" s="264" t="s">
        <v>2</v>
      </c>
      <c r="C181" s="36" t="s">
        <v>31</v>
      </c>
      <c r="D181" s="36" t="s">
        <v>32</v>
      </c>
      <c r="E181" s="37">
        <v>0.36197835601966832</v>
      </c>
      <c r="F181" s="37">
        <v>3.176807255979405E-3</v>
      </c>
      <c r="G181" s="37">
        <v>0.35803382882096724</v>
      </c>
      <c r="H181" s="38">
        <v>0.36592288321836941</v>
      </c>
    </row>
    <row r="182" spans="1:8" ht="14.5" thickBot="1">
      <c r="A182" s="286" t="s">
        <v>483</v>
      </c>
      <c r="B182" s="265" t="s">
        <v>3</v>
      </c>
      <c r="C182" s="25" t="s">
        <v>6</v>
      </c>
      <c r="D182" s="25" t="s">
        <v>7</v>
      </c>
      <c r="E182" s="26">
        <v>7.2959060199999843</v>
      </c>
      <c r="F182" s="26">
        <v>0.41303176534500879</v>
      </c>
      <c r="G182" s="26">
        <v>6.7830593468930767</v>
      </c>
      <c r="H182" s="27">
        <v>7.808752693106892</v>
      </c>
    </row>
    <row r="183" spans="1:8" ht="14.5" thickBot="1">
      <c r="A183" s="286" t="s">
        <v>484</v>
      </c>
      <c r="B183" s="265" t="s">
        <v>87</v>
      </c>
      <c r="C183" s="10" t="s">
        <v>8</v>
      </c>
      <c r="D183" s="10" t="s">
        <v>9</v>
      </c>
      <c r="E183" s="12">
        <v>1.2239399463177292</v>
      </c>
      <c r="F183" s="12">
        <v>6.9289006097132913E-2</v>
      </c>
      <c r="G183" s="12">
        <v>1.1379062819817272</v>
      </c>
      <c r="H183" s="28">
        <v>1.3099736106537312</v>
      </c>
    </row>
    <row r="184" spans="1:8" ht="14.5" thickBot="1">
      <c r="A184" s="286" t="s">
        <v>485</v>
      </c>
      <c r="B184" s="265" t="s">
        <v>88</v>
      </c>
      <c r="C184" s="9" t="s">
        <v>10</v>
      </c>
      <c r="D184" s="9" t="s">
        <v>11</v>
      </c>
      <c r="E184" s="11">
        <v>819.00561318881262</v>
      </c>
      <c r="F184" s="11">
        <v>43.561127185473453</v>
      </c>
      <c r="G184" s="11">
        <v>764.91732984528824</v>
      </c>
      <c r="H184" s="29">
        <v>873.093896532337</v>
      </c>
    </row>
    <row r="185" spans="1:8" ht="14.5" thickBot="1">
      <c r="A185" s="286" t="s">
        <v>486</v>
      </c>
      <c r="B185" s="265" t="s">
        <v>89</v>
      </c>
      <c r="C185" s="291" t="s">
        <v>12</v>
      </c>
      <c r="D185" s="291" t="s">
        <v>13</v>
      </c>
      <c r="E185" s="292">
        <v>3.1769410081659921</v>
      </c>
      <c r="F185" s="292">
        <v>6.2370433208022442E-2</v>
      </c>
      <c r="G185" s="292">
        <v>3.0994978867047354</v>
      </c>
      <c r="H185" s="293">
        <v>3.2543841296272489</v>
      </c>
    </row>
    <row r="186" spans="1:8" ht="14.5" thickBot="1">
      <c r="A186" s="286" t="s">
        <v>487</v>
      </c>
      <c r="B186" s="265" t="s">
        <v>90</v>
      </c>
      <c r="C186" s="9" t="s">
        <v>14</v>
      </c>
      <c r="D186" s="9" t="s">
        <v>13</v>
      </c>
      <c r="E186" s="11">
        <v>5.0093750000000004</v>
      </c>
      <c r="F186" s="11">
        <v>1.0002660778825303</v>
      </c>
      <c r="G186" s="11">
        <v>3.7673806225572593</v>
      </c>
      <c r="H186" s="29">
        <v>6.2513693774427415</v>
      </c>
    </row>
    <row r="187" spans="1:8" ht="14.5" thickBot="1">
      <c r="A187" s="286" t="s">
        <v>488</v>
      </c>
      <c r="B187" s="265" t="s">
        <v>91</v>
      </c>
      <c r="C187" s="10" t="s">
        <v>15</v>
      </c>
      <c r="D187" s="10" t="s">
        <v>16</v>
      </c>
      <c r="E187" s="12">
        <v>6970.5695312500002</v>
      </c>
      <c r="F187" s="12">
        <v>0.89025828524823347</v>
      </c>
      <c r="G187" s="12">
        <v>6969.4641295881838</v>
      </c>
      <c r="H187" s="28">
        <v>6971.6749329118165</v>
      </c>
    </row>
    <row r="188" spans="1:8" ht="14.5" thickBot="1">
      <c r="A188" s="286" t="s">
        <v>489</v>
      </c>
      <c r="B188" s="265" t="s">
        <v>92</v>
      </c>
      <c r="C188" s="297" t="s">
        <v>17</v>
      </c>
      <c r="D188" s="297" t="s">
        <v>16</v>
      </c>
      <c r="E188" s="298">
        <v>7427.8193269785834</v>
      </c>
      <c r="F188" s="298">
        <v>1.0441063695571986</v>
      </c>
      <c r="G188" s="298">
        <v>7426.5228976893013</v>
      </c>
      <c r="H188" s="299">
        <v>7429.1157562678654</v>
      </c>
    </row>
    <row r="189" spans="1:8" ht="14.5" thickBot="1">
      <c r="A189" s="286" t="s">
        <v>490</v>
      </c>
      <c r="B189" s="265" t="s">
        <v>93</v>
      </c>
      <c r="C189" s="10" t="s">
        <v>18</v>
      </c>
      <c r="D189" s="10" t="s">
        <v>16</v>
      </c>
      <c r="E189" s="12">
        <v>7446.09375</v>
      </c>
      <c r="F189" s="12">
        <v>0.51472903928836067</v>
      </c>
      <c r="G189" s="12">
        <v>7445.4546294831316</v>
      </c>
      <c r="H189" s="28">
        <v>7446.7328705168684</v>
      </c>
    </row>
    <row r="190" spans="1:8" ht="14.5" thickBot="1">
      <c r="A190" s="286" t="s">
        <v>491</v>
      </c>
      <c r="B190" s="265" t="s">
        <v>94</v>
      </c>
      <c r="C190" s="9" t="s">
        <v>19</v>
      </c>
      <c r="D190" s="9" t="s">
        <v>16</v>
      </c>
      <c r="E190" s="11">
        <v>457.24979572858302</v>
      </c>
      <c r="F190" s="11">
        <v>0.94755083863289069</v>
      </c>
      <c r="G190" s="11">
        <v>456.07325596586861</v>
      </c>
      <c r="H190" s="29">
        <v>458.42633549129744</v>
      </c>
    </row>
    <row r="191" spans="1:8" ht="14.5" thickBot="1">
      <c r="A191" s="286" t="s">
        <v>492</v>
      </c>
      <c r="B191" s="265" t="s">
        <v>95</v>
      </c>
      <c r="C191" s="10" t="s">
        <v>20</v>
      </c>
      <c r="D191" s="10" t="s">
        <v>16</v>
      </c>
      <c r="E191" s="12">
        <v>475.52421874999999</v>
      </c>
      <c r="F191" s="12">
        <v>0.55561102696153364</v>
      </c>
      <c r="G191" s="12">
        <v>474.83433654086599</v>
      </c>
      <c r="H191" s="28">
        <v>476.21410095913399</v>
      </c>
    </row>
    <row r="192" spans="1:8" ht="14.5" thickBot="1">
      <c r="A192" s="286" t="s">
        <v>493</v>
      </c>
      <c r="B192" s="265" t="s">
        <v>96</v>
      </c>
      <c r="C192" s="9" t="s">
        <v>21</v>
      </c>
      <c r="D192" s="9" t="s">
        <v>16</v>
      </c>
      <c r="E192" s="11">
        <v>7000.55859375</v>
      </c>
      <c r="F192" s="11">
        <v>0</v>
      </c>
      <c r="G192" s="11">
        <v>7000.55859375</v>
      </c>
      <c r="H192" s="29">
        <v>7000.55859375</v>
      </c>
    </row>
    <row r="193" spans="1:8" ht="14.5" thickBot="1">
      <c r="A193" s="286" t="s">
        <v>494</v>
      </c>
      <c r="B193" s="265" t="s">
        <v>97</v>
      </c>
      <c r="C193" s="282" t="s">
        <v>22</v>
      </c>
      <c r="D193" s="282" t="s">
        <v>16</v>
      </c>
      <c r="E193" s="283">
        <v>7000.55859375</v>
      </c>
      <c r="F193" s="283">
        <v>0</v>
      </c>
      <c r="G193" s="283">
        <v>7000.55859375</v>
      </c>
      <c r="H193" s="284">
        <v>7000.55859375</v>
      </c>
    </row>
    <row r="194" spans="1:8" ht="14.5" thickBot="1">
      <c r="A194" s="286" t="s">
        <v>495</v>
      </c>
      <c r="B194" s="265" t="s">
        <v>98</v>
      </c>
      <c r="C194" s="9" t="s">
        <v>23</v>
      </c>
      <c r="D194" s="9" t="s">
        <v>16</v>
      </c>
      <c r="E194" s="11">
        <v>7000.55859375</v>
      </c>
      <c r="F194" s="11">
        <v>0</v>
      </c>
      <c r="G194" s="11">
        <v>7000.55859375</v>
      </c>
      <c r="H194" s="29">
        <v>7000.55859375</v>
      </c>
    </row>
    <row r="195" spans="1:8" ht="14.5" thickBot="1">
      <c r="A195" s="286" t="s">
        <v>496</v>
      </c>
      <c r="B195" s="265" t="s">
        <v>99</v>
      </c>
      <c r="C195" s="10" t="s">
        <v>24</v>
      </c>
      <c r="D195" s="10" t="s">
        <v>16</v>
      </c>
      <c r="E195" s="12">
        <v>0</v>
      </c>
      <c r="F195" s="12">
        <v>0</v>
      </c>
      <c r="G195" s="12">
        <v>0</v>
      </c>
      <c r="H195" s="28">
        <v>0</v>
      </c>
    </row>
    <row r="196" spans="1:8" ht="14.5" thickBot="1">
      <c r="A196" s="286" t="s">
        <v>497</v>
      </c>
      <c r="B196" s="265" t="s">
        <v>100</v>
      </c>
      <c r="C196" s="9" t="s">
        <v>25</v>
      </c>
      <c r="D196" s="9" t="s">
        <v>16</v>
      </c>
      <c r="E196" s="11">
        <v>0</v>
      </c>
      <c r="F196" s="11">
        <v>0</v>
      </c>
      <c r="G196" s="11">
        <v>0</v>
      </c>
      <c r="H196" s="29">
        <v>0</v>
      </c>
    </row>
    <row r="197" spans="1:8" ht="14.5" thickBot="1">
      <c r="A197" s="286" t="s">
        <v>498</v>
      </c>
      <c r="B197" s="265" t="s">
        <v>101</v>
      </c>
      <c r="C197" s="10" t="s">
        <v>26</v>
      </c>
      <c r="D197" s="10" t="s">
        <v>13</v>
      </c>
      <c r="E197" s="12">
        <v>85.446673931091738</v>
      </c>
      <c r="F197" s="12">
        <v>2.8426179212822742</v>
      </c>
      <c r="G197" s="12">
        <v>81.917097597838165</v>
      </c>
      <c r="H197" s="28">
        <v>88.97625026434531</v>
      </c>
    </row>
    <row r="198" spans="1:8" ht="14.5" thickBot="1">
      <c r="A198" s="286" t="s">
        <v>499</v>
      </c>
      <c r="B198" s="265" t="s">
        <v>102</v>
      </c>
      <c r="C198" s="9" t="s">
        <v>27</v>
      </c>
      <c r="D198" s="9" t="s">
        <v>13</v>
      </c>
      <c r="E198" s="11">
        <v>95.8</v>
      </c>
      <c r="F198" s="11">
        <v>4.0249223594996213</v>
      </c>
      <c r="G198" s="11">
        <v>90.802398811000003</v>
      </c>
      <c r="H198" s="29">
        <v>100.79760118899999</v>
      </c>
    </row>
    <row r="199" spans="1:8" ht="14.5" thickBot="1">
      <c r="A199" s="286" t="s">
        <v>500</v>
      </c>
      <c r="B199" s="265" t="s">
        <v>103</v>
      </c>
      <c r="C199" s="10" t="s">
        <v>28</v>
      </c>
      <c r="D199" s="10" t="s">
        <v>29</v>
      </c>
      <c r="E199" s="12">
        <v>54.096879942403483</v>
      </c>
      <c r="F199" s="12">
        <v>2.2185640016913091</v>
      </c>
      <c r="G199" s="12">
        <v>51.342168893988756</v>
      </c>
      <c r="H199" s="28">
        <v>56.85159099081821</v>
      </c>
    </row>
    <row r="200" spans="1:8" ht="14.5" thickBot="1">
      <c r="A200" s="286" t="s">
        <v>501</v>
      </c>
      <c r="B200" s="265" t="s">
        <v>104</v>
      </c>
      <c r="C200" s="9" t="s">
        <v>30</v>
      </c>
      <c r="D200" s="9" t="s">
        <v>29</v>
      </c>
      <c r="E200" s="11">
        <v>73.430199999999999</v>
      </c>
      <c r="F200" s="11">
        <v>4.2657506607864484</v>
      </c>
      <c r="G200" s="11">
        <v>68.13357097956488</v>
      </c>
      <c r="H200" s="29">
        <v>78.726829020435119</v>
      </c>
    </row>
    <row r="201" spans="1:8" ht="14.5" thickBot="1">
      <c r="A201" s="286" t="s">
        <v>502</v>
      </c>
      <c r="B201" s="265" t="s">
        <v>105</v>
      </c>
      <c r="C201" s="36" t="s">
        <v>31</v>
      </c>
      <c r="D201" s="36" t="s">
        <v>32</v>
      </c>
      <c r="E201" s="37">
        <v>0.10892222793971384</v>
      </c>
      <c r="F201" s="37">
        <v>2.4471238679861242E-3</v>
      </c>
      <c r="G201" s="37">
        <v>0.10588372233390679</v>
      </c>
      <c r="H201" s="38">
        <v>0.1119607335455209</v>
      </c>
    </row>
    <row r="202" spans="1:8" ht="14.5" thickBot="1">
      <c r="A202" s="286" t="s">
        <v>503</v>
      </c>
      <c r="B202" s="264" t="s">
        <v>4</v>
      </c>
      <c r="C202" s="25" t="s">
        <v>6</v>
      </c>
      <c r="D202" s="25" t="s">
        <v>7</v>
      </c>
      <c r="E202" s="26">
        <v>3.7026719999999842</v>
      </c>
      <c r="F202" s="26">
        <v>0.45877276990965615</v>
      </c>
      <c r="G202" s="26">
        <v>3.133030368287526</v>
      </c>
      <c r="H202" s="27">
        <v>4.2723136317124419</v>
      </c>
    </row>
    <row r="203" spans="1:8" ht="14.5" thickBot="1">
      <c r="A203" s="286" t="s">
        <v>504</v>
      </c>
      <c r="B203" s="264" t="s">
        <v>4</v>
      </c>
      <c r="C203" s="10" t="s">
        <v>8</v>
      </c>
      <c r="D203" s="10" t="s">
        <v>9</v>
      </c>
      <c r="E203" s="12">
        <v>1.2342239999999947</v>
      </c>
      <c r="F203" s="12">
        <v>0.15292425663655201</v>
      </c>
      <c r="G203" s="12">
        <v>1.044343456095842</v>
      </c>
      <c r="H203" s="28">
        <v>1.4241045439041473</v>
      </c>
    </row>
    <row r="204" spans="1:8" ht="14.5" thickBot="1">
      <c r="A204" s="286" t="s">
        <v>505</v>
      </c>
      <c r="B204" s="264" t="s">
        <v>4</v>
      </c>
      <c r="C204" s="9" t="s">
        <v>10</v>
      </c>
      <c r="D204" s="9" t="s">
        <v>11</v>
      </c>
      <c r="E204" s="11">
        <v>818.90017578175957</v>
      </c>
      <c r="F204" s="11">
        <v>87.558254457693437</v>
      </c>
      <c r="G204" s="11">
        <v>710.18224348382239</v>
      </c>
      <c r="H204" s="29">
        <v>927.61810807969675</v>
      </c>
    </row>
    <row r="205" spans="1:8" ht="14.5" thickBot="1">
      <c r="A205" s="286" t="s">
        <v>506</v>
      </c>
      <c r="B205" s="264" t="s">
        <v>4</v>
      </c>
      <c r="C205" s="291" t="s">
        <v>12</v>
      </c>
      <c r="D205" s="291" t="s">
        <v>13</v>
      </c>
      <c r="E205" s="292">
        <v>3.0420868148395721</v>
      </c>
      <c r="F205" s="292">
        <v>4.740586497039731E-2</v>
      </c>
      <c r="G205" s="292">
        <v>2.9832246590063143</v>
      </c>
      <c r="H205" s="293">
        <v>3.1009489706728299</v>
      </c>
    </row>
    <row r="206" spans="1:8" ht="14.5" thickBot="1">
      <c r="A206" s="286" t="s">
        <v>507</v>
      </c>
      <c r="B206" s="264" t="s">
        <v>4</v>
      </c>
      <c r="C206" s="9" t="s">
        <v>14</v>
      </c>
      <c r="D206" s="9" t="s">
        <v>13</v>
      </c>
      <c r="E206" s="11">
        <v>4.9806249999999999</v>
      </c>
      <c r="F206" s="11">
        <v>1.2660944345456622</v>
      </c>
      <c r="G206" s="11">
        <v>3.4085611224104926</v>
      </c>
      <c r="H206" s="29">
        <v>6.5526888775895067</v>
      </c>
    </row>
    <row r="207" spans="1:8" ht="14.5" thickBot="1">
      <c r="A207" s="286" t="s">
        <v>508</v>
      </c>
      <c r="B207" s="264" t="s">
        <v>4</v>
      </c>
      <c r="C207" s="10" t="s">
        <v>15</v>
      </c>
      <c r="D207" s="10" t="s">
        <v>16</v>
      </c>
      <c r="E207" s="12">
        <v>6248.7242187499996</v>
      </c>
      <c r="F207" s="12">
        <v>0.9540154971737389</v>
      </c>
      <c r="G207" s="12">
        <v>6247.5396520535151</v>
      </c>
      <c r="H207" s="28">
        <v>6249.9087854464842</v>
      </c>
    </row>
    <row r="208" spans="1:8" ht="14.5" thickBot="1">
      <c r="A208" s="286" t="s">
        <v>509</v>
      </c>
      <c r="B208" s="264" t="s">
        <v>4</v>
      </c>
      <c r="C208" s="297" t="s">
        <v>17</v>
      </c>
      <c r="D208" s="297" t="s">
        <v>16</v>
      </c>
      <c r="E208" s="298">
        <v>6484.4893953572982</v>
      </c>
      <c r="F208" s="298">
        <v>1.0564358926152337</v>
      </c>
      <c r="G208" s="298">
        <v>6483.1776569431213</v>
      </c>
      <c r="H208" s="299">
        <v>6485.8011337714752</v>
      </c>
    </row>
    <row r="209" spans="1:8" ht="14.5" thickBot="1">
      <c r="A209" s="286" t="s">
        <v>510</v>
      </c>
      <c r="B209" s="264" t="s">
        <v>4</v>
      </c>
      <c r="C209" s="10" t="s">
        <v>18</v>
      </c>
      <c r="D209" s="10" t="s">
        <v>16</v>
      </c>
      <c r="E209" s="12">
        <v>6507.4968749999998</v>
      </c>
      <c r="F209" s="12">
        <v>0.56235349654654498</v>
      </c>
      <c r="G209" s="12">
        <v>6506.7986209091241</v>
      </c>
      <c r="H209" s="28">
        <v>6508.1951290908755</v>
      </c>
    </row>
    <row r="210" spans="1:8" ht="14.5" thickBot="1">
      <c r="A210" s="286" t="s">
        <v>511</v>
      </c>
      <c r="B210" s="264" t="s">
        <v>4</v>
      </c>
      <c r="C210" s="9" t="s">
        <v>19</v>
      </c>
      <c r="D210" s="9" t="s">
        <v>16</v>
      </c>
      <c r="E210" s="11">
        <v>235.76517660729786</v>
      </c>
      <c r="F210" s="11">
        <v>0.93945396719339358</v>
      </c>
      <c r="G210" s="11">
        <v>234.59869043834723</v>
      </c>
      <c r="H210" s="29">
        <v>236.93166277624849</v>
      </c>
    </row>
    <row r="211" spans="1:8" ht="14.5" thickBot="1">
      <c r="A211" s="286" t="s">
        <v>512</v>
      </c>
      <c r="B211" s="264" t="s">
        <v>4</v>
      </c>
      <c r="C211" s="10" t="s">
        <v>20</v>
      </c>
      <c r="D211" s="10" t="s">
        <v>16</v>
      </c>
      <c r="E211" s="12">
        <v>258.77265625000001</v>
      </c>
      <c r="F211" s="12">
        <v>0.88986398407635869</v>
      </c>
      <c r="G211" s="12">
        <v>257.66774417775292</v>
      </c>
      <c r="H211" s="28">
        <v>259.8775683222471</v>
      </c>
    </row>
    <row r="212" spans="1:8" ht="14.5" thickBot="1">
      <c r="A212" s="286" t="s">
        <v>513</v>
      </c>
      <c r="B212" s="264" t="s">
        <v>4</v>
      </c>
      <c r="C212" s="9" t="s">
        <v>21</v>
      </c>
      <c r="D212" s="9" t="s">
        <v>16</v>
      </c>
      <c r="E212" s="11">
        <v>7000.55859375</v>
      </c>
      <c r="F212" s="11">
        <v>0</v>
      </c>
      <c r="G212" s="11">
        <v>7000.55859375</v>
      </c>
      <c r="H212" s="29">
        <v>7000.55859375</v>
      </c>
    </row>
    <row r="213" spans="1:8" ht="14.5" thickBot="1">
      <c r="A213" s="286" t="s">
        <v>514</v>
      </c>
      <c r="B213" s="264" t="s">
        <v>4</v>
      </c>
      <c r="C213" s="282" t="s">
        <v>22</v>
      </c>
      <c r="D213" s="282" t="s">
        <v>16</v>
      </c>
      <c r="E213" s="283">
        <v>7000.55859375</v>
      </c>
      <c r="F213" s="283">
        <v>0</v>
      </c>
      <c r="G213" s="283">
        <v>7000.55859375</v>
      </c>
      <c r="H213" s="284">
        <v>7000.55859375</v>
      </c>
    </row>
    <row r="214" spans="1:8" ht="14.5" thickBot="1">
      <c r="A214" s="286" t="s">
        <v>515</v>
      </c>
      <c r="B214" s="264" t="s">
        <v>4</v>
      </c>
      <c r="C214" s="9" t="s">
        <v>23</v>
      </c>
      <c r="D214" s="9" t="s">
        <v>16</v>
      </c>
      <c r="E214" s="11">
        <v>7000.55859375</v>
      </c>
      <c r="F214" s="11">
        <v>0</v>
      </c>
      <c r="G214" s="11">
        <v>7000.55859375</v>
      </c>
      <c r="H214" s="29">
        <v>7000.55859375</v>
      </c>
    </row>
    <row r="215" spans="1:8" ht="14.5" thickBot="1">
      <c r="A215" s="286" t="s">
        <v>516</v>
      </c>
      <c r="B215" s="264" t="s">
        <v>4</v>
      </c>
      <c r="C215" s="10" t="s">
        <v>24</v>
      </c>
      <c r="D215" s="10" t="s">
        <v>16</v>
      </c>
      <c r="E215" s="12">
        <v>0</v>
      </c>
      <c r="F215" s="12">
        <v>0</v>
      </c>
      <c r="G215" s="12">
        <v>0</v>
      </c>
      <c r="H215" s="28">
        <v>0</v>
      </c>
    </row>
    <row r="216" spans="1:8" ht="14.5" thickBot="1">
      <c r="A216" s="286" t="s">
        <v>517</v>
      </c>
      <c r="B216" s="264" t="s">
        <v>4</v>
      </c>
      <c r="C216" s="9" t="s">
        <v>25</v>
      </c>
      <c r="D216" s="9" t="s">
        <v>16</v>
      </c>
      <c r="E216" s="11">
        <v>0</v>
      </c>
      <c r="F216" s="11">
        <v>0</v>
      </c>
      <c r="G216" s="11">
        <v>0</v>
      </c>
      <c r="H216" s="29">
        <v>0</v>
      </c>
    </row>
    <row r="217" spans="1:8" ht="14.5" thickBot="1">
      <c r="A217" s="286" t="s">
        <v>518</v>
      </c>
      <c r="B217" s="264" t="s">
        <v>4</v>
      </c>
      <c r="C217" s="10" t="s">
        <v>26</v>
      </c>
      <c r="D217" s="10" t="s">
        <v>13</v>
      </c>
      <c r="E217" s="12">
        <v>78.325698244414042</v>
      </c>
      <c r="F217" s="12">
        <v>6.5482267500590954</v>
      </c>
      <c r="G217" s="12">
        <v>70.19500083737006</v>
      </c>
      <c r="H217" s="28">
        <v>86.456395651458024</v>
      </c>
    </row>
    <row r="218" spans="1:8" ht="14.5" thickBot="1">
      <c r="A218" s="286" t="s">
        <v>519</v>
      </c>
      <c r="B218" s="264" t="s">
        <v>4</v>
      </c>
      <c r="C218" s="9" t="s">
        <v>27</v>
      </c>
      <c r="D218" s="9" t="s">
        <v>13</v>
      </c>
      <c r="E218" s="11">
        <v>88.6</v>
      </c>
      <c r="F218" s="11">
        <v>1.3416407864998738</v>
      </c>
      <c r="G218" s="11">
        <v>86.934132937000001</v>
      </c>
      <c r="H218" s="29">
        <v>90.265867062999988</v>
      </c>
    </row>
    <row r="219" spans="1:8" ht="14.5" thickBot="1">
      <c r="A219" s="286" t="s">
        <v>520</v>
      </c>
      <c r="B219" s="264" t="s">
        <v>4</v>
      </c>
      <c r="C219" s="10" t="s">
        <v>28</v>
      </c>
      <c r="D219" s="10" t="s">
        <v>29</v>
      </c>
      <c r="E219" s="12">
        <v>48.787179889524523</v>
      </c>
      <c r="F219" s="12">
        <v>3.1662992274762969</v>
      </c>
      <c r="G219" s="12">
        <v>44.855700131506893</v>
      </c>
      <c r="H219" s="28">
        <v>52.718659647542154</v>
      </c>
    </row>
    <row r="220" spans="1:8" ht="14.5" thickBot="1">
      <c r="A220" s="286" t="s">
        <v>521</v>
      </c>
      <c r="B220" s="264" t="s">
        <v>4</v>
      </c>
      <c r="C220" s="9" t="s">
        <v>30</v>
      </c>
      <c r="D220" s="9" t="s">
        <v>29</v>
      </c>
      <c r="E220" s="11">
        <v>74.114000000000004</v>
      </c>
      <c r="F220" s="11">
        <v>6.0549968208084177</v>
      </c>
      <c r="G220" s="11">
        <v>66.595728438899542</v>
      </c>
      <c r="H220" s="29">
        <v>81.632271561100467</v>
      </c>
    </row>
    <row r="221" spans="1:8" ht="14.5" thickBot="1">
      <c r="A221" s="286" t="s">
        <v>522</v>
      </c>
      <c r="B221" s="264" t="s">
        <v>4</v>
      </c>
      <c r="C221" s="36" t="s">
        <v>31</v>
      </c>
      <c r="D221" s="36" t="s">
        <v>32</v>
      </c>
      <c r="E221" s="37">
        <v>4.9877621062741878E-2</v>
      </c>
      <c r="F221" s="37">
        <v>2.9579710365082793E-3</v>
      </c>
      <c r="G221" s="37">
        <v>4.6204814919241728E-2</v>
      </c>
      <c r="H221" s="38">
        <v>5.3550427206242028E-2</v>
      </c>
    </row>
    <row r="222" spans="1:8" ht="14.5" thickBot="1">
      <c r="A222" s="286" t="s">
        <v>523</v>
      </c>
      <c r="B222" s="265" t="s">
        <v>5</v>
      </c>
      <c r="C222" s="25" t="s">
        <v>6</v>
      </c>
      <c r="D222" s="25" t="s">
        <v>7</v>
      </c>
      <c r="E222" s="26">
        <v>2.9724788999999872</v>
      </c>
      <c r="F222" s="26">
        <v>0.2923022901107164</v>
      </c>
      <c r="G222" s="26">
        <v>2.6095376698028545</v>
      </c>
      <c r="H222" s="27">
        <v>3.3354201301971198</v>
      </c>
    </row>
    <row r="223" spans="1:8" ht="14.5" thickBot="1">
      <c r="A223" s="286" t="s">
        <v>524</v>
      </c>
      <c r="B223" s="265" t="s">
        <v>5</v>
      </c>
      <c r="C223" s="10" t="s">
        <v>8</v>
      </c>
      <c r="D223" s="10" t="s">
        <v>9</v>
      </c>
      <c r="E223" s="12">
        <v>1.2010015757575705</v>
      </c>
      <c r="F223" s="12">
        <v>0.11810193539826933</v>
      </c>
      <c r="G223" s="12">
        <v>1.0543586544657995</v>
      </c>
      <c r="H223" s="28">
        <v>1.3476444970493415</v>
      </c>
    </row>
    <row r="224" spans="1:8" ht="14.5" thickBot="1">
      <c r="A224" s="286" t="s">
        <v>525</v>
      </c>
      <c r="B224" s="265" t="s">
        <v>5</v>
      </c>
      <c r="C224" s="9" t="s">
        <v>10</v>
      </c>
      <c r="D224" s="9" t="s">
        <v>11</v>
      </c>
      <c r="E224" s="11">
        <v>838.40658269855953</v>
      </c>
      <c r="F224" s="11">
        <v>73.36023477317714</v>
      </c>
      <c r="G224" s="11">
        <v>747.31782028741873</v>
      </c>
      <c r="H224" s="29">
        <v>929.49534510970034</v>
      </c>
    </row>
    <row r="225" spans="1:8" ht="14.5" thickBot="1">
      <c r="A225" s="286" t="s">
        <v>526</v>
      </c>
      <c r="B225" s="265" t="s">
        <v>5</v>
      </c>
      <c r="C225" s="291" t="s">
        <v>12</v>
      </c>
      <c r="D225" s="291" t="s">
        <v>13</v>
      </c>
      <c r="E225" s="292">
        <v>3.003127855940356</v>
      </c>
      <c r="F225" s="292">
        <v>4.9550559100817758E-2</v>
      </c>
      <c r="G225" s="292">
        <v>2.941602710618386</v>
      </c>
      <c r="H225" s="293">
        <v>3.0646530012623261</v>
      </c>
    </row>
    <row r="226" spans="1:8" ht="14.5" thickBot="1">
      <c r="A226" s="286" t="s">
        <v>527</v>
      </c>
      <c r="B226" s="265" t="s">
        <v>5</v>
      </c>
      <c r="C226" s="9" t="s">
        <v>14</v>
      </c>
      <c r="D226" s="9" t="s">
        <v>13</v>
      </c>
      <c r="E226" s="11">
        <v>5.069375</v>
      </c>
      <c r="F226" s="11">
        <v>1.0211804788148371</v>
      </c>
      <c r="G226" s="11">
        <v>3.8014119638774648</v>
      </c>
      <c r="H226" s="29">
        <v>6.3373380361225351</v>
      </c>
    </row>
    <row r="227" spans="1:8" ht="14.5" thickBot="1">
      <c r="A227" s="286" t="s">
        <v>528</v>
      </c>
      <c r="B227" s="265" t="s">
        <v>5</v>
      </c>
      <c r="C227" s="10" t="s">
        <v>15</v>
      </c>
      <c r="D227" s="10" t="s">
        <v>16</v>
      </c>
      <c r="E227" s="12">
        <v>5228.9539062499998</v>
      </c>
      <c r="F227" s="12">
        <v>0.974350620084667</v>
      </c>
      <c r="G227" s="12">
        <v>5227.7440901634991</v>
      </c>
      <c r="H227" s="28">
        <v>5230.1637223365005</v>
      </c>
    </row>
    <row r="228" spans="1:8" ht="14.5" thickBot="1">
      <c r="A228" s="286" t="s">
        <v>529</v>
      </c>
      <c r="B228" s="265" t="s">
        <v>5</v>
      </c>
      <c r="C228" s="297" t="s">
        <v>17</v>
      </c>
      <c r="D228" s="297" t="s">
        <v>16</v>
      </c>
      <c r="E228" s="298">
        <v>5425.1664472101975</v>
      </c>
      <c r="F228" s="298">
        <v>1.2653218284866399</v>
      </c>
      <c r="G228" s="298">
        <v>5423.5953426497363</v>
      </c>
      <c r="H228" s="299">
        <v>5426.7375517706587</v>
      </c>
    </row>
    <row r="229" spans="1:8" ht="14.5" thickBot="1">
      <c r="A229" s="286" t="s">
        <v>530</v>
      </c>
      <c r="B229" s="265" t="s">
        <v>5</v>
      </c>
      <c r="C229" s="10" t="s">
        <v>18</v>
      </c>
      <c r="D229" s="10" t="s">
        <v>16</v>
      </c>
      <c r="E229" s="12">
        <v>5448.9718750000002</v>
      </c>
      <c r="F229" s="12">
        <v>0.31994786791537422</v>
      </c>
      <c r="G229" s="12">
        <v>5448.5746072511356</v>
      </c>
      <c r="H229" s="28">
        <v>5449.3691427488648</v>
      </c>
    </row>
    <row r="230" spans="1:8" ht="14.5" thickBot="1">
      <c r="A230" s="286" t="s">
        <v>531</v>
      </c>
      <c r="B230" s="265" t="s">
        <v>5</v>
      </c>
      <c r="C230" s="9" t="s">
        <v>19</v>
      </c>
      <c r="D230" s="9" t="s">
        <v>16</v>
      </c>
      <c r="E230" s="11">
        <v>196.21254096019729</v>
      </c>
      <c r="F230" s="11">
        <v>0.53778016723759392</v>
      </c>
      <c r="G230" s="11">
        <v>195.54479868763795</v>
      </c>
      <c r="H230" s="29">
        <v>196.88028323275663</v>
      </c>
    </row>
    <row r="231" spans="1:8" ht="14.5" thickBot="1">
      <c r="A231" s="286" t="s">
        <v>532</v>
      </c>
      <c r="B231" s="265" t="s">
        <v>5</v>
      </c>
      <c r="C231" s="10" t="s">
        <v>20</v>
      </c>
      <c r="D231" s="10" t="s">
        <v>16</v>
      </c>
      <c r="E231" s="12">
        <v>220.01796874999999</v>
      </c>
      <c r="F231" s="12">
        <v>0.65661378495859823</v>
      </c>
      <c r="G231" s="12">
        <v>219.20267505255069</v>
      </c>
      <c r="H231" s="28">
        <v>220.8332624474493</v>
      </c>
    </row>
    <row r="232" spans="1:8" ht="14.5" thickBot="1">
      <c r="A232" s="286" t="s">
        <v>533</v>
      </c>
      <c r="B232" s="265" t="s">
        <v>5</v>
      </c>
      <c r="C232" s="9" t="s">
        <v>21</v>
      </c>
      <c r="D232" s="9" t="s">
        <v>16</v>
      </c>
      <c r="E232" s="11">
        <v>7000.55859375</v>
      </c>
      <c r="F232" s="11">
        <v>0</v>
      </c>
      <c r="G232" s="11">
        <v>7000.55859375</v>
      </c>
      <c r="H232" s="29">
        <v>7000.55859375</v>
      </c>
    </row>
    <row r="233" spans="1:8" ht="14.5" thickBot="1">
      <c r="A233" s="286" t="s">
        <v>534</v>
      </c>
      <c r="B233" s="265" t="s">
        <v>5</v>
      </c>
      <c r="C233" s="282" t="s">
        <v>22</v>
      </c>
      <c r="D233" s="282" t="s">
        <v>16</v>
      </c>
      <c r="E233" s="283">
        <v>7000.55859375</v>
      </c>
      <c r="F233" s="283">
        <v>0</v>
      </c>
      <c r="G233" s="283">
        <v>7000.55859375</v>
      </c>
      <c r="H233" s="284">
        <v>7000.55859375</v>
      </c>
    </row>
    <row r="234" spans="1:8" ht="14.5" thickBot="1">
      <c r="A234" s="286" t="s">
        <v>535</v>
      </c>
      <c r="B234" s="265" t="s">
        <v>5</v>
      </c>
      <c r="C234" s="9" t="s">
        <v>23</v>
      </c>
      <c r="D234" s="9" t="s">
        <v>16</v>
      </c>
      <c r="E234" s="11">
        <v>7000.55859375</v>
      </c>
      <c r="F234" s="11">
        <v>0</v>
      </c>
      <c r="G234" s="11">
        <v>7000.55859375</v>
      </c>
      <c r="H234" s="29">
        <v>7000.55859375</v>
      </c>
    </row>
    <row r="235" spans="1:8" ht="14.5" thickBot="1">
      <c r="A235" s="286" t="s">
        <v>536</v>
      </c>
      <c r="B235" s="265" t="s">
        <v>5</v>
      </c>
      <c r="C235" s="10" t="s">
        <v>24</v>
      </c>
      <c r="D235" s="10" t="s">
        <v>16</v>
      </c>
      <c r="E235" s="12">
        <v>0</v>
      </c>
      <c r="F235" s="12">
        <v>0</v>
      </c>
      <c r="G235" s="12">
        <v>0</v>
      </c>
      <c r="H235" s="28">
        <v>0</v>
      </c>
    </row>
    <row r="236" spans="1:8" ht="14.5" thickBot="1">
      <c r="A236" s="286" t="s">
        <v>537</v>
      </c>
      <c r="B236" s="265" t="s">
        <v>5</v>
      </c>
      <c r="C236" s="9" t="s">
        <v>25</v>
      </c>
      <c r="D236" s="9" t="s">
        <v>16</v>
      </c>
      <c r="E236" s="11">
        <v>0</v>
      </c>
      <c r="F236" s="11">
        <v>0</v>
      </c>
      <c r="G236" s="11">
        <v>0</v>
      </c>
      <c r="H236" s="29">
        <v>0</v>
      </c>
    </row>
    <row r="237" spans="1:8" ht="14.5" thickBot="1">
      <c r="A237" s="286" t="s">
        <v>538</v>
      </c>
      <c r="B237" s="265" t="s">
        <v>5</v>
      </c>
      <c r="C237" s="10" t="s">
        <v>26</v>
      </c>
      <c r="D237" s="10" t="s">
        <v>13</v>
      </c>
      <c r="E237" s="12">
        <v>76.320971620971619</v>
      </c>
      <c r="F237" s="12">
        <v>6.0781056659451052</v>
      </c>
      <c r="G237" s="12">
        <v>68.774006638826904</v>
      </c>
      <c r="H237" s="28">
        <v>83.867936603116334</v>
      </c>
    </row>
    <row r="238" spans="1:8" ht="14.5" thickBot="1">
      <c r="A238" s="286" t="s">
        <v>539</v>
      </c>
      <c r="B238" s="265" t="s">
        <v>5</v>
      </c>
      <c r="C238" s="9" t="s">
        <v>27</v>
      </c>
      <c r="D238" s="9" t="s">
        <v>13</v>
      </c>
      <c r="E238" s="11">
        <v>92</v>
      </c>
      <c r="F238" s="11">
        <v>2.5495097567963922</v>
      </c>
      <c r="G238" s="11">
        <v>88.834365522142207</v>
      </c>
      <c r="H238" s="29">
        <v>95.165634477857793</v>
      </c>
    </row>
    <row r="239" spans="1:8" ht="14.5" thickBot="1">
      <c r="A239" s="286" t="s">
        <v>540</v>
      </c>
      <c r="B239" s="265" t="s">
        <v>5</v>
      </c>
      <c r="C239" s="10" t="s">
        <v>28</v>
      </c>
      <c r="D239" s="10" t="s">
        <v>29</v>
      </c>
      <c r="E239" s="12">
        <v>47.98421632996633</v>
      </c>
      <c r="F239" s="12">
        <v>0.8134111302316599</v>
      </c>
      <c r="G239" s="12">
        <v>46.974233013891393</v>
      </c>
      <c r="H239" s="28">
        <v>48.994199646041267</v>
      </c>
    </row>
    <row r="240" spans="1:8" ht="14.5" thickBot="1">
      <c r="A240" s="286" t="s">
        <v>541</v>
      </c>
      <c r="B240" s="265" t="s">
        <v>5</v>
      </c>
      <c r="C240" s="9" t="s">
        <v>30</v>
      </c>
      <c r="D240" s="9" t="s">
        <v>29</v>
      </c>
      <c r="E240" s="11">
        <v>80.643199999999993</v>
      </c>
      <c r="F240" s="11">
        <v>12.005173122450172</v>
      </c>
      <c r="G240" s="11">
        <v>65.736808742712071</v>
      </c>
      <c r="H240" s="29">
        <v>95.549591257287915</v>
      </c>
    </row>
    <row r="241" spans="1:8" ht="14.5" thickBot="1">
      <c r="A241" s="286" t="s">
        <v>542</v>
      </c>
      <c r="B241" s="265" t="s">
        <v>5</v>
      </c>
      <c r="C241" s="36" t="s">
        <v>31</v>
      </c>
      <c r="D241" s="36" t="s">
        <v>32</v>
      </c>
      <c r="E241" s="37">
        <v>3.965912958731941E-2</v>
      </c>
      <c r="F241" s="37">
        <v>3.4873296848370941E-3</v>
      </c>
      <c r="G241" s="37">
        <v>3.5329037868098385E-2</v>
      </c>
      <c r="H241" s="38">
        <v>4.3989221306540434E-2</v>
      </c>
    </row>
    <row r="242" spans="1:8" ht="14.5" thickBot="1">
      <c r="A242" s="286" t="s">
        <v>69</v>
      </c>
      <c r="B242" s="264" t="s">
        <v>2</v>
      </c>
      <c r="C242" s="25" t="s">
        <v>6</v>
      </c>
      <c r="D242" s="25" t="s">
        <v>7</v>
      </c>
      <c r="E242" s="26">
        <v>2.6554492199999458</v>
      </c>
      <c r="F242" s="26">
        <v>0.14675966604631074</v>
      </c>
      <c r="G242" s="26">
        <v>2.4732230262948161</v>
      </c>
      <c r="H242" s="27">
        <v>2.8376754137050755</v>
      </c>
    </row>
    <row r="243" spans="1:8" ht="14.5" thickBot="1">
      <c r="A243" s="286" t="s">
        <v>69</v>
      </c>
      <c r="B243" s="264" t="s">
        <v>2</v>
      </c>
      <c r="C243" s="10" t="s">
        <v>8</v>
      </c>
      <c r="D243" s="10" t="s">
        <v>9</v>
      </c>
      <c r="E243" s="12">
        <v>0.14752495666666365</v>
      </c>
      <c r="F243" s="12">
        <v>8.1533147803506054E-3</v>
      </c>
      <c r="G243" s="12">
        <v>0.13740127923860088</v>
      </c>
      <c r="H243" s="28">
        <v>0.15764863409472643</v>
      </c>
    </row>
    <row r="244" spans="1:8" ht="14.5" thickBot="1">
      <c r="A244" s="286" t="s">
        <v>69</v>
      </c>
      <c r="B244" s="264" t="s">
        <v>2</v>
      </c>
      <c r="C244" s="9" t="s">
        <v>10</v>
      </c>
      <c r="D244" s="9" t="s">
        <v>11</v>
      </c>
      <c r="E244" s="11">
        <v>6794.2792920453085</v>
      </c>
      <c r="F244" s="11">
        <v>356.85698529337134</v>
      </c>
      <c r="G244" s="11">
        <v>6351.182820930565</v>
      </c>
      <c r="H244" s="29">
        <v>7237.375763160052</v>
      </c>
    </row>
    <row r="245" spans="1:8" ht="14.5" thickBot="1">
      <c r="A245" s="286" t="s">
        <v>69</v>
      </c>
      <c r="B245" s="264" t="s">
        <v>2</v>
      </c>
      <c r="C245" s="291" t="s">
        <v>12</v>
      </c>
      <c r="D245" s="291" t="s">
        <v>13</v>
      </c>
      <c r="E245" s="292">
        <v>4.1567552083333332</v>
      </c>
      <c r="F245" s="292">
        <v>0.41369521249483399</v>
      </c>
      <c r="G245" s="292">
        <v>3.6430847567858358</v>
      </c>
      <c r="H245" s="293">
        <v>4.6704256598808307</v>
      </c>
    </row>
    <row r="246" spans="1:8" ht="14.5" thickBot="1">
      <c r="A246" s="286" t="s">
        <v>69</v>
      </c>
      <c r="B246" s="264" t="s">
        <v>2</v>
      </c>
      <c r="C246" s="9" t="s">
        <v>14</v>
      </c>
      <c r="D246" s="9" t="s">
        <v>13</v>
      </c>
      <c r="E246" s="11">
        <v>11.074999999999999</v>
      </c>
      <c r="F246" s="11">
        <v>9.2641627745880246</v>
      </c>
      <c r="G246" s="11">
        <v>-0.42797738988597445</v>
      </c>
      <c r="H246" s="29">
        <v>22.577977389885973</v>
      </c>
    </row>
    <row r="247" spans="1:8" ht="14.5" thickBot="1">
      <c r="A247" s="286" t="s">
        <v>69</v>
      </c>
      <c r="B247" s="264" t="s">
        <v>2</v>
      </c>
      <c r="C247" s="10" t="s">
        <v>15</v>
      </c>
      <c r="D247" s="10" t="s">
        <v>16</v>
      </c>
      <c r="E247" s="12">
        <v>8346.0226562499993</v>
      </c>
      <c r="F247" s="12">
        <v>18.986562574901349</v>
      </c>
      <c r="G247" s="12">
        <v>8322.4477250527816</v>
      </c>
      <c r="H247" s="28">
        <v>8369.5975874472169</v>
      </c>
    </row>
    <row r="248" spans="1:8" ht="14.5" thickBot="1">
      <c r="A248" s="286" t="s">
        <v>69</v>
      </c>
      <c r="B248" s="264" t="s">
        <v>2</v>
      </c>
      <c r="C248" s="297" t="s">
        <v>17</v>
      </c>
      <c r="D248" s="297" t="s">
        <v>16</v>
      </c>
      <c r="E248" s="298">
        <v>9555.1299843750003</v>
      </c>
      <c r="F248" s="298">
        <v>15.952336700859156</v>
      </c>
      <c r="G248" s="298">
        <v>9535.3225422077303</v>
      </c>
      <c r="H248" s="299">
        <v>9574.9374265422703</v>
      </c>
    </row>
    <row r="249" spans="1:8" ht="14.5" thickBot="1">
      <c r="A249" s="286" t="s">
        <v>69</v>
      </c>
      <c r="B249" s="264" t="s">
        <v>2</v>
      </c>
      <c r="C249" s="10" t="s">
        <v>18</v>
      </c>
      <c r="D249" s="10" t="s">
        <v>16</v>
      </c>
      <c r="E249" s="12">
        <v>9703.55859375</v>
      </c>
      <c r="F249" s="12">
        <v>18.22847492177096</v>
      </c>
      <c r="G249" s="12">
        <v>9680.9249526990898</v>
      </c>
      <c r="H249" s="28">
        <v>9726.1922348009102</v>
      </c>
    </row>
    <row r="250" spans="1:8" ht="14.5" thickBot="1">
      <c r="A250" s="286" t="s">
        <v>69</v>
      </c>
      <c r="B250" s="264" t="s">
        <v>2</v>
      </c>
      <c r="C250" s="9" t="s">
        <v>19</v>
      </c>
      <c r="D250" s="9" t="s">
        <v>16</v>
      </c>
      <c r="E250" s="11">
        <v>1209.1073281249999</v>
      </c>
      <c r="F250" s="11">
        <v>3.2783374437480131</v>
      </c>
      <c r="G250" s="11">
        <v>1205.0367345474247</v>
      </c>
      <c r="H250" s="29">
        <v>1213.1779217025751</v>
      </c>
    </row>
    <row r="251" spans="1:8" ht="14.5" thickBot="1">
      <c r="A251" s="286" t="s">
        <v>69</v>
      </c>
      <c r="B251" s="264" t="s">
        <v>2</v>
      </c>
      <c r="C251" s="10" t="s">
        <v>20</v>
      </c>
      <c r="D251" s="10" t="s">
        <v>16</v>
      </c>
      <c r="E251" s="12">
        <v>1357.5359375</v>
      </c>
      <c r="F251" s="12">
        <v>0.85441305437151926</v>
      </c>
      <c r="G251" s="12">
        <v>1356.4750435708672</v>
      </c>
      <c r="H251" s="28">
        <v>1358.5968314291329</v>
      </c>
    </row>
    <row r="252" spans="1:8" ht="14.5" thickBot="1">
      <c r="A252" s="286" t="s">
        <v>69</v>
      </c>
      <c r="B252" s="264" t="s">
        <v>2</v>
      </c>
      <c r="C252" s="9" t="s">
        <v>21</v>
      </c>
      <c r="D252" s="9" t="s">
        <v>16</v>
      </c>
      <c r="E252" s="11">
        <v>7183.2265625</v>
      </c>
      <c r="F252" s="11">
        <v>0</v>
      </c>
      <c r="G252" s="11">
        <v>7183.2265625</v>
      </c>
      <c r="H252" s="29">
        <v>7183.2265625</v>
      </c>
    </row>
    <row r="253" spans="1:8" ht="14.5" thickBot="1">
      <c r="A253" s="286" t="s">
        <v>69</v>
      </c>
      <c r="B253" s="264" t="s">
        <v>2</v>
      </c>
      <c r="C253" s="282" t="s">
        <v>22</v>
      </c>
      <c r="D253" s="282" t="s">
        <v>16</v>
      </c>
      <c r="E253" s="283">
        <v>7183.2265625</v>
      </c>
      <c r="F253" s="283">
        <v>0</v>
      </c>
      <c r="G253" s="283">
        <v>7183.2265625</v>
      </c>
      <c r="H253" s="284">
        <v>7183.2265625</v>
      </c>
    </row>
    <row r="254" spans="1:8" ht="14.5" thickBot="1">
      <c r="A254" s="286" t="s">
        <v>69</v>
      </c>
      <c r="B254" s="264" t="s">
        <v>2</v>
      </c>
      <c r="C254" s="9" t="s">
        <v>23</v>
      </c>
      <c r="D254" s="9" t="s">
        <v>16</v>
      </c>
      <c r="E254" s="11">
        <v>7183.2265625</v>
      </c>
      <c r="F254" s="11">
        <v>0</v>
      </c>
      <c r="G254" s="11">
        <v>7183.2265625</v>
      </c>
      <c r="H254" s="29">
        <v>7183.2265625</v>
      </c>
    </row>
    <row r="255" spans="1:8" ht="14.5" thickBot="1">
      <c r="A255" s="286" t="s">
        <v>69</v>
      </c>
      <c r="B255" s="264" t="s">
        <v>2</v>
      </c>
      <c r="C255" s="10" t="s">
        <v>24</v>
      </c>
      <c r="D255" s="10" t="s">
        <v>16</v>
      </c>
      <c r="E255" s="12">
        <v>0</v>
      </c>
      <c r="F255" s="12">
        <v>0</v>
      </c>
      <c r="G255" s="12">
        <v>0</v>
      </c>
      <c r="H255" s="28">
        <v>0</v>
      </c>
    </row>
    <row r="256" spans="1:8" ht="14.5" thickBot="1">
      <c r="A256" s="286" t="s">
        <v>69</v>
      </c>
      <c r="B256" s="264" t="s">
        <v>2</v>
      </c>
      <c r="C256" s="9" t="s">
        <v>25</v>
      </c>
      <c r="D256" s="9" t="s">
        <v>16</v>
      </c>
      <c r="E256" s="11">
        <v>0</v>
      </c>
      <c r="F256" s="11">
        <v>0</v>
      </c>
      <c r="G256" s="11">
        <v>0</v>
      </c>
      <c r="H256" s="29">
        <v>0</v>
      </c>
    </row>
    <row r="257" spans="1:8" ht="14.5" thickBot="1">
      <c r="A257" s="286" t="s">
        <v>69</v>
      </c>
      <c r="B257" s="264" t="s">
        <v>2</v>
      </c>
      <c r="C257" s="10" t="s">
        <v>26</v>
      </c>
      <c r="D257" s="10" t="s">
        <v>13</v>
      </c>
      <c r="E257" s="12">
        <v>61.034333333333336</v>
      </c>
      <c r="F257" s="12">
        <v>2.6425389201380631</v>
      </c>
      <c r="G257" s="12">
        <v>57.753187892579398</v>
      </c>
      <c r="H257" s="28">
        <v>64.315478774087268</v>
      </c>
    </row>
    <row r="258" spans="1:8" ht="14.5" thickBot="1">
      <c r="A258" s="286" t="s">
        <v>69</v>
      </c>
      <c r="B258" s="264" t="s">
        <v>2</v>
      </c>
      <c r="C258" s="9" t="s">
        <v>27</v>
      </c>
      <c r="D258" s="9" t="s">
        <v>13</v>
      </c>
      <c r="E258" s="11">
        <v>95.2</v>
      </c>
      <c r="F258" s="11">
        <v>8.228000972289685</v>
      </c>
      <c r="G258" s="11">
        <v>84.983587416250145</v>
      </c>
      <c r="H258" s="29">
        <v>105.41641258374986</v>
      </c>
    </row>
    <row r="259" spans="1:8" ht="14.5" thickBot="1">
      <c r="A259" s="286" t="s">
        <v>69</v>
      </c>
      <c r="B259" s="264" t="s">
        <v>2</v>
      </c>
      <c r="C259" s="10" t="s">
        <v>28</v>
      </c>
      <c r="D259" s="10" t="s">
        <v>29</v>
      </c>
      <c r="E259" s="12">
        <v>37.555790666666667</v>
      </c>
      <c r="F259" s="12">
        <v>1.4300009373678959</v>
      </c>
      <c r="G259" s="12">
        <v>35.78020998546581</v>
      </c>
      <c r="H259" s="28">
        <v>39.331371347867524</v>
      </c>
    </row>
    <row r="260" spans="1:8" ht="14.5" thickBot="1">
      <c r="A260" s="286" t="s">
        <v>69</v>
      </c>
      <c r="B260" s="264" t="s">
        <v>2</v>
      </c>
      <c r="C260" s="9" t="s">
        <v>30</v>
      </c>
      <c r="D260" s="9" t="s">
        <v>29</v>
      </c>
      <c r="E260" s="11">
        <v>61.575200000000002</v>
      </c>
      <c r="F260" s="11">
        <v>4.6369218453625018</v>
      </c>
      <c r="G260" s="11">
        <v>55.817701082538989</v>
      </c>
      <c r="H260" s="29">
        <v>67.332698917461016</v>
      </c>
    </row>
    <row r="261" spans="1:8" ht="14.5" thickBot="1">
      <c r="A261" s="286" t="s">
        <v>69</v>
      </c>
      <c r="B261" s="264" t="s">
        <v>2</v>
      </c>
      <c r="C261" s="36" t="s">
        <v>31</v>
      </c>
      <c r="D261" s="36" t="s">
        <v>32</v>
      </c>
      <c r="E261" s="37">
        <v>2.6970938905027896E-2</v>
      </c>
      <c r="F261" s="37">
        <v>1.0956736348691255E-3</v>
      </c>
      <c r="G261" s="37">
        <v>2.5610480398926765E-2</v>
      </c>
      <c r="H261" s="38">
        <v>2.8331397411129028E-2</v>
      </c>
    </row>
    <row r="262" spans="1:8" ht="14.5" thickBot="1">
      <c r="A262" s="286" t="s">
        <v>69</v>
      </c>
      <c r="B262" s="265" t="s">
        <v>3</v>
      </c>
      <c r="C262" s="25" t="s">
        <v>6</v>
      </c>
      <c r="D262" s="25" t="s">
        <v>7</v>
      </c>
      <c r="E262" s="26">
        <v>1.1560527199999797</v>
      </c>
      <c r="F262" s="26">
        <v>0.10665504479745204</v>
      </c>
      <c r="G262" s="26">
        <v>1.0236229906576082</v>
      </c>
      <c r="H262" s="27">
        <v>1.2884824493423512</v>
      </c>
    </row>
    <row r="263" spans="1:8" ht="14.5" thickBot="1">
      <c r="A263" s="286" t="s">
        <v>69</v>
      </c>
      <c r="B263" s="265" t="s">
        <v>87</v>
      </c>
      <c r="C263" s="10" t="s">
        <v>8</v>
      </c>
      <c r="D263" s="10" t="s">
        <v>9</v>
      </c>
      <c r="E263" s="12">
        <v>0.19393603757758426</v>
      </c>
      <c r="F263" s="12">
        <v>1.7892139707675229E-2</v>
      </c>
      <c r="G263" s="12">
        <v>0.17172001185331459</v>
      </c>
      <c r="H263" s="28">
        <v>0.21615206330185394</v>
      </c>
    </row>
    <row r="264" spans="1:8" ht="14.5" thickBot="1">
      <c r="A264" s="286" t="s">
        <v>69</v>
      </c>
      <c r="B264" s="265" t="s">
        <v>88</v>
      </c>
      <c r="C264" s="9" t="s">
        <v>10</v>
      </c>
      <c r="D264" s="9" t="s">
        <v>11</v>
      </c>
      <c r="E264" s="11">
        <v>5190.2392319373694</v>
      </c>
      <c r="F264" s="11">
        <v>459.98868692311294</v>
      </c>
      <c r="G264" s="11">
        <v>4619.0878398446057</v>
      </c>
      <c r="H264" s="29">
        <v>5761.390624030133</v>
      </c>
    </row>
    <row r="265" spans="1:8" ht="14.5" thickBot="1">
      <c r="A265" s="286" t="s">
        <v>69</v>
      </c>
      <c r="B265" s="265" t="s">
        <v>89</v>
      </c>
      <c r="C265" s="291" t="s">
        <v>12</v>
      </c>
      <c r="D265" s="291" t="s">
        <v>13</v>
      </c>
      <c r="E265" s="292">
        <v>3.2688723776223778</v>
      </c>
      <c r="F265" s="292">
        <v>0.32046332690445256</v>
      </c>
      <c r="G265" s="292">
        <v>2.8709646018888622</v>
      </c>
      <c r="H265" s="293">
        <v>3.6667801533558935</v>
      </c>
    </row>
    <row r="266" spans="1:8" ht="14.5" thickBot="1">
      <c r="A266" s="286" t="s">
        <v>69</v>
      </c>
      <c r="B266" s="265" t="s">
        <v>90</v>
      </c>
      <c r="C266" s="9" t="s">
        <v>14</v>
      </c>
      <c r="D266" s="9" t="s">
        <v>13</v>
      </c>
      <c r="E266" s="11">
        <v>5.8718750000000002</v>
      </c>
      <c r="F266" s="11">
        <v>1.807055400022368</v>
      </c>
      <c r="G266" s="11">
        <v>3.6281193671923688</v>
      </c>
      <c r="H266" s="29">
        <v>8.1156306328076315</v>
      </c>
    </row>
    <row r="267" spans="1:8" ht="14.5" thickBot="1">
      <c r="A267" s="286" t="s">
        <v>69</v>
      </c>
      <c r="B267" s="265" t="s">
        <v>91</v>
      </c>
      <c r="C267" s="10" t="s">
        <v>15</v>
      </c>
      <c r="D267" s="10" t="s">
        <v>16</v>
      </c>
      <c r="E267" s="12">
        <v>6794.84765625</v>
      </c>
      <c r="F267" s="12">
        <v>7.9492753760268142</v>
      </c>
      <c r="G267" s="12">
        <v>6784.9773272044831</v>
      </c>
      <c r="H267" s="28">
        <v>6804.7179852955169</v>
      </c>
    </row>
    <row r="268" spans="1:8" ht="14.5" thickBot="1">
      <c r="A268" s="286" t="s">
        <v>69</v>
      </c>
      <c r="B268" s="265" t="s">
        <v>92</v>
      </c>
      <c r="C268" s="297" t="s">
        <v>17</v>
      </c>
      <c r="D268" s="297" t="s">
        <v>16</v>
      </c>
      <c r="E268" s="298">
        <v>7177.0761363636366</v>
      </c>
      <c r="F268" s="298">
        <v>2.0761696595248091</v>
      </c>
      <c r="G268" s="298">
        <v>7174.4982312434249</v>
      </c>
      <c r="H268" s="299">
        <v>7179.6540414838482</v>
      </c>
    </row>
    <row r="269" spans="1:8" ht="14.5" thickBot="1">
      <c r="A269" s="286" t="s">
        <v>69</v>
      </c>
      <c r="B269" s="265" t="s">
        <v>93</v>
      </c>
      <c r="C269" s="10" t="s">
        <v>18</v>
      </c>
      <c r="D269" s="10" t="s">
        <v>16</v>
      </c>
      <c r="E269" s="12">
        <v>7270.6078125000004</v>
      </c>
      <c r="F269" s="12">
        <v>6.3414143589405469</v>
      </c>
      <c r="G269" s="12">
        <v>7262.733906593372</v>
      </c>
      <c r="H269" s="28">
        <v>7278.4817184066287</v>
      </c>
    </row>
    <row r="270" spans="1:8" ht="14.5" thickBot="1">
      <c r="A270" s="286" t="s">
        <v>69</v>
      </c>
      <c r="B270" s="265" t="s">
        <v>94</v>
      </c>
      <c r="C270" s="9" t="s">
        <v>19</v>
      </c>
      <c r="D270" s="9" t="s">
        <v>16</v>
      </c>
      <c r="E270" s="11">
        <v>382.22848011363624</v>
      </c>
      <c r="F270" s="11">
        <v>7.7234734547394286</v>
      </c>
      <c r="G270" s="11">
        <v>372.63852118448705</v>
      </c>
      <c r="H270" s="29">
        <v>391.81843904278543</v>
      </c>
    </row>
    <row r="271" spans="1:8" ht="14.5" thickBot="1">
      <c r="A271" s="286" t="s">
        <v>69</v>
      </c>
      <c r="B271" s="265" t="s">
        <v>95</v>
      </c>
      <c r="C271" s="10" t="s">
        <v>20</v>
      </c>
      <c r="D271" s="10" t="s">
        <v>16</v>
      </c>
      <c r="E271" s="12">
        <v>475.76015625000002</v>
      </c>
      <c r="F271" s="12">
        <v>1.6146653414993035</v>
      </c>
      <c r="G271" s="12">
        <v>473.75528442645577</v>
      </c>
      <c r="H271" s="28">
        <v>477.76502807354427</v>
      </c>
    </row>
    <row r="272" spans="1:8" ht="14.5" thickBot="1">
      <c r="A272" s="286" t="s">
        <v>69</v>
      </c>
      <c r="B272" s="265" t="s">
        <v>96</v>
      </c>
      <c r="C272" s="9" t="s">
        <v>21</v>
      </c>
      <c r="D272" s="9" t="s">
        <v>16</v>
      </c>
      <c r="E272" s="11">
        <v>7183.1875</v>
      </c>
      <c r="F272" s="11">
        <v>0</v>
      </c>
      <c r="G272" s="11">
        <v>7183.1875</v>
      </c>
      <c r="H272" s="29">
        <v>7183.1875</v>
      </c>
    </row>
    <row r="273" spans="1:8" ht="14.5" thickBot="1">
      <c r="A273" s="286" t="s">
        <v>69</v>
      </c>
      <c r="B273" s="265" t="s">
        <v>97</v>
      </c>
      <c r="C273" s="282" t="s">
        <v>22</v>
      </c>
      <c r="D273" s="282" t="s">
        <v>16</v>
      </c>
      <c r="E273" s="283">
        <v>7183.1875</v>
      </c>
      <c r="F273" s="283">
        <v>0</v>
      </c>
      <c r="G273" s="283">
        <v>7183.1875</v>
      </c>
      <c r="H273" s="284">
        <v>7183.1875</v>
      </c>
    </row>
    <row r="274" spans="1:8" ht="14.5" thickBot="1">
      <c r="A274" s="286" t="s">
        <v>69</v>
      </c>
      <c r="B274" s="265" t="s">
        <v>98</v>
      </c>
      <c r="C274" s="9" t="s">
        <v>23</v>
      </c>
      <c r="D274" s="9" t="s">
        <v>16</v>
      </c>
      <c r="E274" s="11">
        <v>7183.1875</v>
      </c>
      <c r="F274" s="11">
        <v>0</v>
      </c>
      <c r="G274" s="11">
        <v>7183.1875</v>
      </c>
      <c r="H274" s="29">
        <v>7183.1875</v>
      </c>
    </row>
    <row r="275" spans="1:8" ht="14.5" thickBot="1">
      <c r="A275" s="286" t="s">
        <v>69</v>
      </c>
      <c r="B275" s="265" t="s">
        <v>99</v>
      </c>
      <c r="C275" s="10" t="s">
        <v>24</v>
      </c>
      <c r="D275" s="10" t="s">
        <v>16</v>
      </c>
      <c r="E275" s="12">
        <v>0</v>
      </c>
      <c r="F275" s="12">
        <v>0</v>
      </c>
      <c r="G275" s="12">
        <v>0</v>
      </c>
      <c r="H275" s="28">
        <v>0</v>
      </c>
    </row>
    <row r="276" spans="1:8" ht="14.5" thickBot="1">
      <c r="A276" s="286" t="s">
        <v>69</v>
      </c>
      <c r="B276" s="265" t="s">
        <v>100</v>
      </c>
      <c r="C276" s="9" t="s">
        <v>25</v>
      </c>
      <c r="D276" s="9" t="s">
        <v>16</v>
      </c>
      <c r="E276" s="11">
        <v>0</v>
      </c>
      <c r="F276" s="11">
        <v>0</v>
      </c>
      <c r="G276" s="11">
        <v>0</v>
      </c>
      <c r="H276" s="29">
        <v>0</v>
      </c>
    </row>
    <row r="277" spans="1:8" ht="14.5" thickBot="1">
      <c r="A277" s="286" t="s">
        <v>69</v>
      </c>
      <c r="B277" s="265" t="s">
        <v>101</v>
      </c>
      <c r="C277" s="10" t="s">
        <v>26</v>
      </c>
      <c r="D277" s="10" t="s">
        <v>13</v>
      </c>
      <c r="E277" s="12">
        <v>59.35664335664336</v>
      </c>
      <c r="F277" s="12">
        <v>5.148271030753258</v>
      </c>
      <c r="G277" s="12">
        <v>52.964220565217047</v>
      </c>
      <c r="H277" s="28">
        <v>65.749066148069673</v>
      </c>
    </row>
    <row r="278" spans="1:8" ht="14.5" thickBot="1">
      <c r="A278" s="286" t="s">
        <v>69</v>
      </c>
      <c r="B278" s="265" t="s">
        <v>102</v>
      </c>
      <c r="C278" s="9" t="s">
        <v>27</v>
      </c>
      <c r="D278" s="9" t="s">
        <v>13</v>
      </c>
      <c r="E278" s="11">
        <v>88</v>
      </c>
      <c r="F278" s="11">
        <v>9.5655632348544959</v>
      </c>
      <c r="G278" s="11">
        <v>76.12278450958577</v>
      </c>
      <c r="H278" s="29">
        <v>99.87721549041423</v>
      </c>
    </row>
    <row r="279" spans="1:8" ht="14.5" thickBot="1">
      <c r="A279" s="286" t="s">
        <v>69</v>
      </c>
      <c r="B279" s="265" t="s">
        <v>103</v>
      </c>
      <c r="C279" s="10" t="s">
        <v>28</v>
      </c>
      <c r="D279" s="10" t="s">
        <v>29</v>
      </c>
      <c r="E279" s="12">
        <v>15.894593006993006</v>
      </c>
      <c r="F279" s="12">
        <v>1.1604351203961518</v>
      </c>
      <c r="G279" s="12">
        <v>14.453722495848501</v>
      </c>
      <c r="H279" s="28">
        <v>17.335463518137512</v>
      </c>
    </row>
    <row r="280" spans="1:8" ht="14.5" thickBot="1">
      <c r="A280" s="286" t="s">
        <v>69</v>
      </c>
      <c r="B280" s="265" t="s">
        <v>104</v>
      </c>
      <c r="C280" s="9" t="s">
        <v>30</v>
      </c>
      <c r="D280" s="9" t="s">
        <v>29</v>
      </c>
      <c r="E280" s="11">
        <v>40.2224</v>
      </c>
      <c r="F280" s="11">
        <v>1.4035335051219822</v>
      </c>
      <c r="G280" s="11">
        <v>38.479682976541447</v>
      </c>
      <c r="H280" s="29">
        <v>41.965117023458554</v>
      </c>
    </row>
    <row r="281" spans="1:8" ht="14.5" thickBot="1">
      <c r="A281" s="286" t="s">
        <v>69</v>
      </c>
      <c r="B281" s="265" t="s">
        <v>105</v>
      </c>
      <c r="C281" s="36" t="s">
        <v>31</v>
      </c>
      <c r="D281" s="36" t="s">
        <v>32</v>
      </c>
      <c r="E281" s="37">
        <v>4.0754293906668151E-3</v>
      </c>
      <c r="F281" s="37">
        <v>7.5199413058713797E-4</v>
      </c>
      <c r="G281" s="37">
        <v>3.1417053519227443E-3</v>
      </c>
      <c r="H281" s="38">
        <v>5.0091534294108859E-3</v>
      </c>
    </row>
    <row r="282" spans="1:8" ht="14.5" thickBot="1">
      <c r="A282" s="286" t="s">
        <v>69</v>
      </c>
      <c r="B282" s="264" t="s">
        <v>4</v>
      </c>
      <c r="C282" s="25" t="s">
        <v>6</v>
      </c>
      <c r="D282" s="25" t="s">
        <v>7</v>
      </c>
      <c r="E282" s="26">
        <v>0.73620181999999657</v>
      </c>
      <c r="F282" s="26">
        <v>0.11838635279080921</v>
      </c>
      <c r="G282" s="26">
        <v>0.58920574787147095</v>
      </c>
      <c r="H282" s="27">
        <v>0.88319789212852218</v>
      </c>
    </row>
    <row r="283" spans="1:8" ht="14.5" thickBot="1">
      <c r="A283" s="286" t="s">
        <v>69</v>
      </c>
      <c r="B283" s="264" t="s">
        <v>4</v>
      </c>
      <c r="C283" s="10" t="s">
        <v>8</v>
      </c>
      <c r="D283" s="10" t="s">
        <v>9</v>
      </c>
      <c r="E283" s="12">
        <v>0.24540060666666552</v>
      </c>
      <c r="F283" s="12">
        <v>3.9462117596936401E-2</v>
      </c>
      <c r="G283" s="12">
        <v>0.196401915957157</v>
      </c>
      <c r="H283" s="28">
        <v>0.29439929737617404</v>
      </c>
    </row>
    <row r="284" spans="1:8" ht="14.5" thickBot="1">
      <c r="A284" s="286" t="s">
        <v>69</v>
      </c>
      <c r="B284" s="264" t="s">
        <v>4</v>
      </c>
      <c r="C284" s="9" t="s">
        <v>10</v>
      </c>
      <c r="D284" s="9" t="s">
        <v>11</v>
      </c>
      <c r="E284" s="11">
        <v>4146.5277983402129</v>
      </c>
      <c r="F284" s="11">
        <v>557.2522569119526</v>
      </c>
      <c r="G284" s="11">
        <v>3454.6077330641392</v>
      </c>
      <c r="H284" s="29">
        <v>4838.4478636162867</v>
      </c>
    </row>
    <row r="285" spans="1:8" ht="14.5" thickBot="1">
      <c r="A285" s="286" t="s">
        <v>69</v>
      </c>
      <c r="B285" s="264" t="s">
        <v>4</v>
      </c>
      <c r="C285" s="291" t="s">
        <v>12</v>
      </c>
      <c r="D285" s="291" t="s">
        <v>13</v>
      </c>
      <c r="E285" s="292">
        <v>2.8951562499999999</v>
      </c>
      <c r="F285" s="292">
        <v>0.29432013840726273</v>
      </c>
      <c r="G285" s="292">
        <v>2.529709530219387</v>
      </c>
      <c r="H285" s="293">
        <v>3.2606029697806127</v>
      </c>
    </row>
    <row r="286" spans="1:8" ht="14.5" thickBot="1">
      <c r="A286" s="286" t="s">
        <v>69</v>
      </c>
      <c r="B286" s="264" t="s">
        <v>4</v>
      </c>
      <c r="C286" s="9" t="s">
        <v>14</v>
      </c>
      <c r="D286" s="9" t="s">
        <v>13</v>
      </c>
      <c r="E286" s="11">
        <v>5.2750000000000004</v>
      </c>
      <c r="F286" s="11">
        <v>0.84624342224179216</v>
      </c>
      <c r="G286" s="11">
        <v>4.2242500089604755</v>
      </c>
      <c r="H286" s="29">
        <v>6.3257499910395252</v>
      </c>
    </row>
    <row r="287" spans="1:8" ht="14.5" thickBot="1">
      <c r="A287" s="286" t="s">
        <v>69</v>
      </c>
      <c r="B287" s="264" t="s">
        <v>4</v>
      </c>
      <c r="C287" s="10" t="s">
        <v>15</v>
      </c>
      <c r="D287" s="10" t="s">
        <v>16</v>
      </c>
      <c r="E287" s="12">
        <v>6043.484375</v>
      </c>
      <c r="F287" s="12">
        <v>5.1111538558130851</v>
      </c>
      <c r="G287" s="12">
        <v>6037.1380392684086</v>
      </c>
      <c r="H287" s="28">
        <v>6049.8307107315914</v>
      </c>
    </row>
    <row r="288" spans="1:8" ht="14.5" thickBot="1">
      <c r="A288" s="286" t="s">
        <v>69</v>
      </c>
      <c r="B288" s="264" t="s">
        <v>4</v>
      </c>
      <c r="C288" s="297" t="s">
        <v>17</v>
      </c>
      <c r="D288" s="297" t="s">
        <v>16</v>
      </c>
      <c r="E288" s="298">
        <v>6226.7751171874997</v>
      </c>
      <c r="F288" s="298">
        <v>3.1145423151248202</v>
      </c>
      <c r="G288" s="298">
        <v>6222.9079021242023</v>
      </c>
      <c r="H288" s="299">
        <v>6230.6423322507972</v>
      </c>
    </row>
    <row r="289" spans="1:8" ht="14.5" thickBot="1">
      <c r="A289" s="286" t="s">
        <v>69</v>
      </c>
      <c r="B289" s="264" t="s">
        <v>4</v>
      </c>
      <c r="C289" s="10" t="s">
        <v>18</v>
      </c>
      <c r="D289" s="10" t="s">
        <v>16</v>
      </c>
      <c r="E289" s="12">
        <v>6302.2289062500004</v>
      </c>
      <c r="F289" s="12">
        <v>4.2384158964787115</v>
      </c>
      <c r="G289" s="12">
        <v>6296.9662178223034</v>
      </c>
      <c r="H289" s="28">
        <v>6307.4915946776973</v>
      </c>
    </row>
    <row r="290" spans="1:8" ht="14.5" thickBot="1">
      <c r="A290" s="286" t="s">
        <v>69</v>
      </c>
      <c r="B290" s="264" t="s">
        <v>4</v>
      </c>
      <c r="C290" s="9" t="s">
        <v>19</v>
      </c>
      <c r="D290" s="9" t="s">
        <v>16</v>
      </c>
      <c r="E290" s="11">
        <v>183.29074218749992</v>
      </c>
      <c r="F290" s="11">
        <v>4.8703762322698081</v>
      </c>
      <c r="G290" s="11">
        <v>177.24337136261403</v>
      </c>
      <c r="H290" s="29">
        <v>189.3381130123858</v>
      </c>
    </row>
    <row r="291" spans="1:8" ht="14.5" thickBot="1">
      <c r="A291" s="286" t="s">
        <v>69</v>
      </c>
      <c r="B291" s="264" t="s">
        <v>4</v>
      </c>
      <c r="C291" s="10" t="s">
        <v>20</v>
      </c>
      <c r="D291" s="10" t="s">
        <v>16</v>
      </c>
      <c r="E291" s="12">
        <v>258.74453125000002</v>
      </c>
      <c r="F291" s="12">
        <v>0.89216817377273039</v>
      </c>
      <c r="G291" s="12">
        <v>257.63675814836216</v>
      </c>
      <c r="H291" s="28">
        <v>259.85230435163788</v>
      </c>
    </row>
    <row r="292" spans="1:8" ht="14.5" thickBot="1">
      <c r="A292" s="286" t="s">
        <v>69</v>
      </c>
      <c r="B292" s="264" t="s">
        <v>4</v>
      </c>
      <c r="C292" s="9" t="s">
        <v>21</v>
      </c>
      <c r="D292" s="9" t="s">
        <v>16</v>
      </c>
      <c r="E292" s="11">
        <v>7183.1875</v>
      </c>
      <c r="F292" s="11">
        <v>0</v>
      </c>
      <c r="G292" s="11">
        <v>7183.1875</v>
      </c>
      <c r="H292" s="29">
        <v>7183.1875</v>
      </c>
    </row>
    <row r="293" spans="1:8" ht="14.5" thickBot="1">
      <c r="A293" s="286" t="s">
        <v>69</v>
      </c>
      <c r="B293" s="264" t="s">
        <v>4</v>
      </c>
      <c r="C293" s="282" t="s">
        <v>22</v>
      </c>
      <c r="D293" s="282" t="s">
        <v>16</v>
      </c>
      <c r="E293" s="283">
        <v>7183.1875</v>
      </c>
      <c r="F293" s="283">
        <v>0</v>
      </c>
      <c r="G293" s="283">
        <v>7183.1875</v>
      </c>
      <c r="H293" s="284">
        <v>7183.1875</v>
      </c>
    </row>
    <row r="294" spans="1:8" ht="14.5" thickBot="1">
      <c r="A294" s="286" t="s">
        <v>69</v>
      </c>
      <c r="B294" s="264" t="s">
        <v>4</v>
      </c>
      <c r="C294" s="9" t="s">
        <v>23</v>
      </c>
      <c r="D294" s="9" t="s">
        <v>16</v>
      </c>
      <c r="E294" s="11">
        <v>7183.1875</v>
      </c>
      <c r="F294" s="11">
        <v>0</v>
      </c>
      <c r="G294" s="11">
        <v>7183.1875</v>
      </c>
      <c r="H294" s="29">
        <v>7183.1875</v>
      </c>
    </row>
    <row r="295" spans="1:8" ht="14.5" thickBot="1">
      <c r="A295" s="286" t="s">
        <v>69</v>
      </c>
      <c r="B295" s="264" t="s">
        <v>4</v>
      </c>
      <c r="C295" s="10" t="s">
        <v>24</v>
      </c>
      <c r="D295" s="10" t="s">
        <v>16</v>
      </c>
      <c r="E295" s="12">
        <v>0</v>
      </c>
      <c r="F295" s="12">
        <v>0</v>
      </c>
      <c r="G295" s="12">
        <v>0</v>
      </c>
      <c r="H295" s="28">
        <v>0</v>
      </c>
    </row>
    <row r="296" spans="1:8" ht="14.5" thickBot="1">
      <c r="A296" s="286" t="s">
        <v>69</v>
      </c>
      <c r="B296" s="264" t="s">
        <v>4</v>
      </c>
      <c r="C296" s="9" t="s">
        <v>25</v>
      </c>
      <c r="D296" s="9" t="s">
        <v>16</v>
      </c>
      <c r="E296" s="11">
        <v>0</v>
      </c>
      <c r="F296" s="11">
        <v>0</v>
      </c>
      <c r="G296" s="11">
        <v>0</v>
      </c>
      <c r="H296" s="29">
        <v>0</v>
      </c>
    </row>
    <row r="297" spans="1:8" ht="14.5" thickBot="1">
      <c r="A297" s="286" t="s">
        <v>69</v>
      </c>
      <c r="B297" s="264" t="s">
        <v>4</v>
      </c>
      <c r="C297" s="10" t="s">
        <v>26</v>
      </c>
      <c r="D297" s="10" t="s">
        <v>13</v>
      </c>
      <c r="E297" s="12">
        <v>52.23</v>
      </c>
      <c r="F297" s="12">
        <v>6.1814086177828429</v>
      </c>
      <c r="G297" s="12">
        <v>44.554767461659331</v>
      </c>
      <c r="H297" s="28">
        <v>59.905232538340663</v>
      </c>
    </row>
    <row r="298" spans="1:8" ht="14.5" thickBot="1">
      <c r="A298" s="286" t="s">
        <v>69</v>
      </c>
      <c r="B298" s="264" t="s">
        <v>4</v>
      </c>
      <c r="C298" s="9" t="s">
        <v>27</v>
      </c>
      <c r="D298" s="9" t="s">
        <v>13</v>
      </c>
      <c r="E298" s="11">
        <v>81.2</v>
      </c>
      <c r="F298" s="11">
        <v>4.2661458015403086</v>
      </c>
      <c r="G298" s="11">
        <v>75.902880347516628</v>
      </c>
      <c r="H298" s="29">
        <v>86.497119652483377</v>
      </c>
    </row>
    <row r="299" spans="1:8" ht="14.5" thickBot="1">
      <c r="A299" s="286" t="s">
        <v>69</v>
      </c>
      <c r="B299" s="264" t="s">
        <v>4</v>
      </c>
      <c r="C299" s="10" t="s">
        <v>28</v>
      </c>
      <c r="D299" s="10" t="s">
        <v>29</v>
      </c>
      <c r="E299" s="12">
        <v>7.1189799999999996</v>
      </c>
      <c r="F299" s="12">
        <v>1.5178349410426681</v>
      </c>
      <c r="G299" s="12">
        <v>5.2343389986258471</v>
      </c>
      <c r="H299" s="28">
        <v>9.0036210013741531</v>
      </c>
    </row>
    <row r="300" spans="1:8" ht="14.5" thickBot="1">
      <c r="A300" s="286" t="s">
        <v>69</v>
      </c>
      <c r="B300" s="264" t="s">
        <v>4</v>
      </c>
      <c r="C300" s="9" t="s">
        <v>30</v>
      </c>
      <c r="D300" s="9" t="s">
        <v>29</v>
      </c>
      <c r="E300" s="11">
        <v>12.552</v>
      </c>
      <c r="F300" s="11">
        <v>1.2324861053983531</v>
      </c>
      <c r="G300" s="11">
        <v>11.021666374749515</v>
      </c>
      <c r="H300" s="29">
        <v>14.082333625250484</v>
      </c>
    </row>
    <row r="301" spans="1:8" ht="14.5" thickBot="1">
      <c r="A301" s="286" t="s">
        <v>69</v>
      </c>
      <c r="B301" s="264" t="s">
        <v>4</v>
      </c>
      <c r="C301" s="36" t="s">
        <v>31</v>
      </c>
      <c r="D301" s="36" t="s">
        <v>32</v>
      </c>
      <c r="E301" s="37">
        <v>1.3265594694639451E-3</v>
      </c>
      <c r="F301" s="37">
        <v>2.1804755256830461E-4</v>
      </c>
      <c r="G301" s="37">
        <v>1.0558176735627261E-3</v>
      </c>
      <c r="H301" s="38">
        <v>1.5973012653651641E-3</v>
      </c>
    </row>
    <row r="302" spans="1:8" ht="14.5" thickBot="1">
      <c r="A302" s="286" t="s">
        <v>69</v>
      </c>
      <c r="B302" s="265" t="s">
        <v>5</v>
      </c>
      <c r="C302" s="15" t="s">
        <v>6</v>
      </c>
      <c r="D302" s="15" t="s">
        <v>7</v>
      </c>
      <c r="E302" s="16">
        <v>0.66918779999999745</v>
      </c>
      <c r="F302" s="16">
        <v>6.3874449414190348E-2</v>
      </c>
      <c r="G302" s="16">
        <v>0.58987719576295983</v>
      </c>
      <c r="H302" s="59">
        <v>0.74849840423703506</v>
      </c>
    </row>
    <row r="303" spans="1:8" ht="14.5" thickBot="1">
      <c r="A303" s="286" t="s">
        <v>69</v>
      </c>
      <c r="B303" s="265" t="s">
        <v>5</v>
      </c>
      <c r="C303" s="10" t="s">
        <v>8</v>
      </c>
      <c r="D303" s="10" t="s">
        <v>9</v>
      </c>
      <c r="E303" s="12">
        <v>0.27037890909090806</v>
      </c>
      <c r="F303" s="12">
        <v>2.5807858349167812E-2</v>
      </c>
      <c r="G303" s="12">
        <v>0.2383342205102868</v>
      </c>
      <c r="H303" s="28">
        <v>0.30242359767152932</v>
      </c>
    </row>
    <row r="304" spans="1:8" ht="14.5" thickBot="1">
      <c r="A304" s="286" t="s">
        <v>69</v>
      </c>
      <c r="B304" s="265" t="s">
        <v>5</v>
      </c>
      <c r="C304" s="9" t="s">
        <v>10</v>
      </c>
      <c r="D304" s="9" t="s">
        <v>11</v>
      </c>
      <c r="E304" s="11">
        <v>3727.117123810614</v>
      </c>
      <c r="F304" s="11">
        <v>375.55229859923219</v>
      </c>
      <c r="G304" s="11">
        <v>3260.8073552304973</v>
      </c>
      <c r="H304" s="29">
        <v>4193.4268923907312</v>
      </c>
    </row>
    <row r="305" spans="1:8" ht="14.5" thickBot="1">
      <c r="A305" s="286" t="s">
        <v>69</v>
      </c>
      <c r="B305" s="265" t="s">
        <v>5</v>
      </c>
      <c r="C305" s="291" t="s">
        <v>12</v>
      </c>
      <c r="D305" s="291" t="s">
        <v>13</v>
      </c>
      <c r="E305" s="292">
        <v>2.5998697916666669</v>
      </c>
      <c r="F305" s="292">
        <v>0.15382074260331327</v>
      </c>
      <c r="G305" s="292">
        <v>2.408876113412771</v>
      </c>
      <c r="H305" s="293">
        <v>2.7908634699205628</v>
      </c>
    </row>
    <row r="306" spans="1:8" ht="14.5" thickBot="1">
      <c r="A306" s="286" t="s">
        <v>69</v>
      </c>
      <c r="B306" s="265" t="s">
        <v>5</v>
      </c>
      <c r="C306" s="9" t="s">
        <v>14</v>
      </c>
      <c r="D306" s="9" t="s">
        <v>13</v>
      </c>
      <c r="E306" s="11">
        <v>4.5112500000000004</v>
      </c>
      <c r="F306" s="11">
        <v>0.53857360076177141</v>
      </c>
      <c r="G306" s="11">
        <v>3.8425225495987814</v>
      </c>
      <c r="H306" s="29">
        <v>5.1799774504012195</v>
      </c>
    </row>
    <row r="307" spans="1:8" ht="14.5" thickBot="1">
      <c r="A307" s="286" t="s">
        <v>69</v>
      </c>
      <c r="B307" s="265" t="s">
        <v>5</v>
      </c>
      <c r="C307" s="10" t="s">
        <v>15</v>
      </c>
      <c r="D307" s="10" t="s">
        <v>16</v>
      </c>
      <c r="E307" s="12">
        <v>5039.31640625</v>
      </c>
      <c r="F307" s="12">
        <v>5.3574556967807725</v>
      </c>
      <c r="G307" s="12">
        <v>5032.6642463898097</v>
      </c>
      <c r="H307" s="28">
        <v>5045.9685661101903</v>
      </c>
    </row>
    <row r="308" spans="1:8" ht="14.5" thickBot="1">
      <c r="A308" s="286" t="s">
        <v>69</v>
      </c>
      <c r="B308" s="265" t="s">
        <v>5</v>
      </c>
      <c r="C308" s="297" t="s">
        <v>17</v>
      </c>
      <c r="D308" s="297" t="s">
        <v>16</v>
      </c>
      <c r="E308" s="298">
        <v>5190.9714750744051</v>
      </c>
      <c r="F308" s="298">
        <v>9.6052229461327272</v>
      </c>
      <c r="G308" s="298">
        <v>5179.0450155483213</v>
      </c>
      <c r="H308" s="299">
        <v>5202.897934600489</v>
      </c>
    </row>
    <row r="309" spans="1:8" ht="14.5" thickBot="1">
      <c r="A309" s="286" t="s">
        <v>69</v>
      </c>
      <c r="B309" s="265" t="s">
        <v>5</v>
      </c>
      <c r="C309" s="10" t="s">
        <v>18</v>
      </c>
      <c r="D309" s="10" t="s">
        <v>16</v>
      </c>
      <c r="E309" s="12">
        <v>5259.95</v>
      </c>
      <c r="F309" s="12">
        <v>4.2193552444892832</v>
      </c>
      <c r="G309" s="12">
        <v>5254.7109784976583</v>
      </c>
      <c r="H309" s="28">
        <v>5265.1890215023413</v>
      </c>
    </row>
    <row r="310" spans="1:8" ht="14.5" thickBot="1">
      <c r="A310" s="286" t="s">
        <v>69</v>
      </c>
      <c r="B310" s="265" t="s">
        <v>5</v>
      </c>
      <c r="C310" s="9" t="s">
        <v>19</v>
      </c>
      <c r="D310" s="9" t="s">
        <v>16</v>
      </c>
      <c r="E310" s="11">
        <v>151.65506882440476</v>
      </c>
      <c r="F310" s="11">
        <v>5.4196098425040198</v>
      </c>
      <c r="G310" s="11">
        <v>144.92573439913616</v>
      </c>
      <c r="H310" s="29">
        <v>158.38440324967337</v>
      </c>
    </row>
    <row r="311" spans="1:8" ht="14.5" thickBot="1">
      <c r="A311" s="286" t="s">
        <v>69</v>
      </c>
      <c r="B311" s="265" t="s">
        <v>5</v>
      </c>
      <c r="C311" s="10" t="s">
        <v>20</v>
      </c>
      <c r="D311" s="10" t="s">
        <v>16</v>
      </c>
      <c r="E311" s="12">
        <v>220.63359374999999</v>
      </c>
      <c r="F311" s="12">
        <v>1.187861016257926</v>
      </c>
      <c r="G311" s="12">
        <v>219.15866949134787</v>
      </c>
      <c r="H311" s="28">
        <v>222.10851800865211</v>
      </c>
    </row>
    <row r="312" spans="1:8" ht="14.5" thickBot="1">
      <c r="A312" s="286" t="s">
        <v>69</v>
      </c>
      <c r="B312" s="265" t="s">
        <v>5</v>
      </c>
      <c r="C312" s="9" t="s">
        <v>21</v>
      </c>
      <c r="D312" s="9" t="s">
        <v>16</v>
      </c>
      <c r="E312" s="11">
        <v>7183.1875</v>
      </c>
      <c r="F312" s="11">
        <v>0</v>
      </c>
      <c r="G312" s="11">
        <v>7183.1875</v>
      </c>
      <c r="H312" s="29">
        <v>7183.1875</v>
      </c>
    </row>
    <row r="313" spans="1:8" ht="14.5" thickBot="1">
      <c r="A313" s="286" t="s">
        <v>69</v>
      </c>
      <c r="B313" s="265" t="s">
        <v>5</v>
      </c>
      <c r="C313" s="282" t="s">
        <v>22</v>
      </c>
      <c r="D313" s="282" t="s">
        <v>16</v>
      </c>
      <c r="E313" s="283">
        <v>7183.1875</v>
      </c>
      <c r="F313" s="283">
        <v>0</v>
      </c>
      <c r="G313" s="283">
        <v>7183.1875</v>
      </c>
      <c r="H313" s="284">
        <v>7183.1875</v>
      </c>
    </row>
    <row r="314" spans="1:8" ht="14.5" thickBot="1">
      <c r="A314" s="286" t="s">
        <v>69</v>
      </c>
      <c r="B314" s="265" t="s">
        <v>5</v>
      </c>
      <c r="C314" s="9" t="s">
        <v>23</v>
      </c>
      <c r="D314" s="9" t="s">
        <v>16</v>
      </c>
      <c r="E314" s="11">
        <v>7183.1875</v>
      </c>
      <c r="F314" s="11">
        <v>0</v>
      </c>
      <c r="G314" s="11">
        <v>7183.1875</v>
      </c>
      <c r="H314" s="29">
        <v>7183.1875</v>
      </c>
    </row>
    <row r="315" spans="1:8" ht="14.5" thickBot="1">
      <c r="A315" s="286" t="s">
        <v>69</v>
      </c>
      <c r="B315" s="265" t="s">
        <v>5</v>
      </c>
      <c r="C315" s="10" t="s">
        <v>24</v>
      </c>
      <c r="D315" s="10" t="s">
        <v>16</v>
      </c>
      <c r="E315" s="12">
        <v>0</v>
      </c>
      <c r="F315" s="12">
        <v>0</v>
      </c>
      <c r="G315" s="12">
        <v>0</v>
      </c>
      <c r="H315" s="28">
        <v>0</v>
      </c>
    </row>
    <row r="316" spans="1:8" ht="14.5" thickBot="1">
      <c r="A316" s="286" t="s">
        <v>69</v>
      </c>
      <c r="B316" s="265" t="s">
        <v>5</v>
      </c>
      <c r="C316" s="9" t="s">
        <v>25</v>
      </c>
      <c r="D316" s="9" t="s">
        <v>16</v>
      </c>
      <c r="E316" s="11">
        <v>0</v>
      </c>
      <c r="F316" s="11">
        <v>0</v>
      </c>
      <c r="G316" s="11">
        <v>0</v>
      </c>
      <c r="H316" s="29">
        <v>0</v>
      </c>
    </row>
    <row r="317" spans="1:8" ht="14.5" thickBot="1">
      <c r="A317" s="286" t="s">
        <v>69</v>
      </c>
      <c r="B317" s="265" t="s">
        <v>5</v>
      </c>
      <c r="C317" s="10" t="s">
        <v>26</v>
      </c>
      <c r="D317" s="10" t="s">
        <v>13</v>
      </c>
      <c r="E317" s="12">
        <v>50.736111111111114</v>
      </c>
      <c r="F317" s="12">
        <v>5.6437273986805288</v>
      </c>
      <c r="G317" s="12">
        <v>43.728497984992543</v>
      </c>
      <c r="H317" s="28">
        <v>57.743724237229685</v>
      </c>
    </row>
    <row r="318" spans="1:8" ht="14.5" thickBot="1">
      <c r="A318" s="286" t="s">
        <v>69</v>
      </c>
      <c r="B318" s="265" t="s">
        <v>5</v>
      </c>
      <c r="C318" s="9" t="s">
        <v>27</v>
      </c>
      <c r="D318" s="9" t="s">
        <v>13</v>
      </c>
      <c r="E318" s="11">
        <v>86.2</v>
      </c>
      <c r="F318" s="11">
        <v>5.7619441163551732</v>
      </c>
      <c r="G318" s="11">
        <v>79.045601431569466</v>
      </c>
      <c r="H318" s="29">
        <v>93.35439856843054</v>
      </c>
    </row>
    <row r="319" spans="1:8" ht="14.5" thickBot="1">
      <c r="A319" s="286" t="s">
        <v>69</v>
      </c>
      <c r="B319" s="265" t="s">
        <v>5</v>
      </c>
      <c r="C319" s="10" t="s">
        <v>28</v>
      </c>
      <c r="D319" s="10" t="s">
        <v>29</v>
      </c>
      <c r="E319" s="12">
        <v>5.676655158730159</v>
      </c>
      <c r="F319" s="12">
        <v>0.89034818419332784</v>
      </c>
      <c r="G319" s="12">
        <v>4.5711418726299664</v>
      </c>
      <c r="H319" s="28">
        <v>6.7821684448303516</v>
      </c>
    </row>
    <row r="320" spans="1:8" ht="14.5" thickBot="1">
      <c r="A320" s="286" t="s">
        <v>69</v>
      </c>
      <c r="B320" s="265" t="s">
        <v>5</v>
      </c>
      <c r="C320" s="9" t="s">
        <v>30</v>
      </c>
      <c r="D320" s="9" t="s">
        <v>29</v>
      </c>
      <c r="E320" s="11">
        <v>9.6912000000000003</v>
      </c>
      <c r="F320" s="11">
        <v>0.87408106031420196</v>
      </c>
      <c r="G320" s="11">
        <v>8.6058850159734011</v>
      </c>
      <c r="H320" s="29">
        <v>10.776514984026599</v>
      </c>
    </row>
    <row r="321" spans="1:8" ht="14.5" thickBot="1">
      <c r="A321" s="286" t="s">
        <v>69</v>
      </c>
      <c r="B321" s="265" t="s">
        <v>5</v>
      </c>
      <c r="C321" s="36" t="s">
        <v>31</v>
      </c>
      <c r="D321" s="36" t="s">
        <v>32</v>
      </c>
      <c r="E321" s="37">
        <v>9.4946835229440141E-4</v>
      </c>
      <c r="F321" s="37">
        <v>2.1314163493355511E-4</v>
      </c>
      <c r="G321" s="37">
        <v>6.848180576979699E-4</v>
      </c>
      <c r="H321" s="38">
        <v>1.2141186468908329E-3</v>
      </c>
    </row>
    <row r="322" spans="1:8" ht="14.5" thickBot="1">
      <c r="A322" s="286" t="s">
        <v>71</v>
      </c>
      <c r="B322" s="264" t="s">
        <v>2</v>
      </c>
      <c r="C322" s="25" t="s">
        <v>6</v>
      </c>
      <c r="D322" s="25" t="s">
        <v>7</v>
      </c>
      <c r="E322" s="26">
        <v>11.365401399999973</v>
      </c>
      <c r="F322" s="26">
        <v>0.37909394618226766</v>
      </c>
      <c r="G322" s="26">
        <v>10.89469409512199</v>
      </c>
      <c r="H322" s="27">
        <v>11.836108704877956</v>
      </c>
    </row>
    <row r="323" spans="1:8" ht="14.5" thickBot="1">
      <c r="A323" s="286" t="s">
        <v>385</v>
      </c>
      <c r="B323" s="264" t="s">
        <v>2</v>
      </c>
      <c r="C323" s="10" t="s">
        <v>8</v>
      </c>
      <c r="D323" s="10" t="s">
        <v>9</v>
      </c>
      <c r="E323" s="12">
        <v>0.63141118888888736</v>
      </c>
      <c r="F323" s="12">
        <v>2.1060774787903771E-2</v>
      </c>
      <c r="G323" s="12">
        <v>0.60526078306233266</v>
      </c>
      <c r="H323" s="28">
        <v>0.65756159471544207</v>
      </c>
    </row>
    <row r="324" spans="1:8" ht="14.5" thickBot="1">
      <c r="A324" s="286" t="s">
        <v>386</v>
      </c>
      <c r="B324" s="264" t="s">
        <v>2</v>
      </c>
      <c r="C324" s="9" t="s">
        <v>10</v>
      </c>
      <c r="D324" s="9" t="s">
        <v>11</v>
      </c>
      <c r="E324" s="11">
        <v>1585.1222209455739</v>
      </c>
      <c r="F324" s="11">
        <v>51.284067654691029</v>
      </c>
      <c r="G324" s="11">
        <v>1521.4446404618343</v>
      </c>
      <c r="H324" s="29">
        <v>1648.7998014293134</v>
      </c>
    </row>
    <row r="325" spans="1:8" ht="14.5" thickBot="1">
      <c r="A325" s="286" t="s">
        <v>387</v>
      </c>
      <c r="B325" s="264" t="s">
        <v>2</v>
      </c>
      <c r="C325" s="291" t="s">
        <v>12</v>
      </c>
      <c r="D325" s="291" t="s">
        <v>13</v>
      </c>
      <c r="E325" s="292">
        <v>3.3189319852163384</v>
      </c>
      <c r="F325" s="292">
        <v>7.6066590248456259E-2</v>
      </c>
      <c r="G325" s="292">
        <v>3.2244828386454412</v>
      </c>
      <c r="H325" s="293">
        <v>3.4133811317872356</v>
      </c>
    </row>
    <row r="326" spans="1:8" ht="14.5" thickBot="1">
      <c r="A326" s="286" t="s">
        <v>388</v>
      </c>
      <c r="B326" s="264" t="s">
        <v>2</v>
      </c>
      <c r="C326" s="9" t="s">
        <v>14</v>
      </c>
      <c r="D326" s="9" t="s">
        <v>13</v>
      </c>
      <c r="E326" s="11">
        <v>5.1243749999999997</v>
      </c>
      <c r="F326" s="11">
        <v>0.60683927546756578</v>
      </c>
      <c r="G326" s="11">
        <v>4.3708845190095449</v>
      </c>
      <c r="H326" s="29">
        <v>5.8778654809904545</v>
      </c>
    </row>
    <row r="327" spans="1:8" ht="14.5" thickBot="1">
      <c r="A327" s="286" t="s">
        <v>389</v>
      </c>
      <c r="B327" s="264" t="s">
        <v>2</v>
      </c>
      <c r="C327" s="10" t="s">
        <v>15</v>
      </c>
      <c r="D327" s="10" t="s">
        <v>16</v>
      </c>
      <c r="E327" s="12">
        <v>8461.7890625</v>
      </c>
      <c r="F327" s="12">
        <v>15.669232557403323</v>
      </c>
      <c r="G327" s="12">
        <v>8442.3331405553763</v>
      </c>
      <c r="H327" s="28">
        <v>8481.2449844446237</v>
      </c>
    </row>
    <row r="328" spans="1:8" ht="14.5" thickBot="1">
      <c r="A328" s="286" t="s">
        <v>390</v>
      </c>
      <c r="B328" s="264" t="s">
        <v>2</v>
      </c>
      <c r="C328" s="297" t="s">
        <v>17</v>
      </c>
      <c r="D328" s="297" t="s">
        <v>16</v>
      </c>
      <c r="E328" s="298">
        <v>9783.3215834416478</v>
      </c>
      <c r="F328" s="298">
        <v>15.02760365667935</v>
      </c>
      <c r="G328" s="298">
        <v>9764.6623490032034</v>
      </c>
      <c r="H328" s="299">
        <v>9801.9808178800922</v>
      </c>
    </row>
    <row r="329" spans="1:8" ht="14.5" thickBot="1">
      <c r="A329" s="286" t="s">
        <v>391</v>
      </c>
      <c r="B329" s="264" t="s">
        <v>2</v>
      </c>
      <c r="C329" s="10" t="s">
        <v>18</v>
      </c>
      <c r="D329" s="10" t="s">
        <v>16</v>
      </c>
      <c r="E329" s="12">
        <v>9819.90234375</v>
      </c>
      <c r="F329" s="12">
        <v>15.461799308424744</v>
      </c>
      <c r="G329" s="12">
        <v>9800.7039842026443</v>
      </c>
      <c r="H329" s="28">
        <v>9839.1007032973557</v>
      </c>
    </row>
    <row r="330" spans="1:8" ht="14.5" thickBot="1">
      <c r="A330" s="286" t="s">
        <v>392</v>
      </c>
      <c r="B330" s="264" t="s">
        <v>2</v>
      </c>
      <c r="C330" s="9" t="s">
        <v>19</v>
      </c>
      <c r="D330" s="9" t="s">
        <v>16</v>
      </c>
      <c r="E330" s="11">
        <v>1321.5325209416478</v>
      </c>
      <c r="F330" s="11">
        <v>1.0427485063907891</v>
      </c>
      <c r="G330" s="11">
        <v>1320.2377776621738</v>
      </c>
      <c r="H330" s="29">
        <v>1322.8272642211218</v>
      </c>
    </row>
    <row r="331" spans="1:8" ht="14.5" thickBot="1">
      <c r="A331" s="286" t="s">
        <v>393</v>
      </c>
      <c r="B331" s="264" t="s">
        <v>2</v>
      </c>
      <c r="C331" s="10" t="s">
        <v>20</v>
      </c>
      <c r="D331" s="10" t="s">
        <v>16</v>
      </c>
      <c r="E331" s="12">
        <v>1358.11328125</v>
      </c>
      <c r="F331" s="12">
        <v>0.24666661992802907</v>
      </c>
      <c r="G331" s="12">
        <v>1357.8070041884985</v>
      </c>
      <c r="H331" s="28">
        <v>1358.4195583115015</v>
      </c>
    </row>
    <row r="332" spans="1:8" ht="14.5" thickBot="1">
      <c r="A332" s="286" t="s">
        <v>394</v>
      </c>
      <c r="B332" s="264" t="s">
        <v>2</v>
      </c>
      <c r="C332" s="9" t="s">
        <v>21</v>
      </c>
      <c r="D332" s="9" t="s">
        <v>16</v>
      </c>
      <c r="E332" s="11">
        <v>6958.71484375</v>
      </c>
      <c r="F332" s="11">
        <v>0</v>
      </c>
      <c r="G332" s="11">
        <v>6958.71484375</v>
      </c>
      <c r="H332" s="29">
        <v>6958.71484375</v>
      </c>
    </row>
    <row r="333" spans="1:8" ht="14.5" thickBot="1">
      <c r="A333" s="286" t="s">
        <v>395</v>
      </c>
      <c r="B333" s="264" t="s">
        <v>2</v>
      </c>
      <c r="C333" s="282" t="s">
        <v>22</v>
      </c>
      <c r="D333" s="282" t="s">
        <v>16</v>
      </c>
      <c r="E333" s="283">
        <v>6958.71484375</v>
      </c>
      <c r="F333" s="283">
        <v>0</v>
      </c>
      <c r="G333" s="283">
        <v>6958.71484375</v>
      </c>
      <c r="H333" s="284">
        <v>6958.71484375</v>
      </c>
    </row>
    <row r="334" spans="1:8" ht="14.5" thickBot="1">
      <c r="A334" s="286" t="s">
        <v>396</v>
      </c>
      <c r="B334" s="264" t="s">
        <v>2</v>
      </c>
      <c r="C334" s="9" t="s">
        <v>23</v>
      </c>
      <c r="D334" s="9" t="s">
        <v>16</v>
      </c>
      <c r="E334" s="11">
        <v>6958.71484375</v>
      </c>
      <c r="F334" s="11">
        <v>0</v>
      </c>
      <c r="G334" s="11">
        <v>6958.71484375</v>
      </c>
      <c r="H334" s="29">
        <v>6958.71484375</v>
      </c>
    </row>
    <row r="335" spans="1:8" ht="14.5" thickBot="1">
      <c r="A335" s="286" t="s">
        <v>397</v>
      </c>
      <c r="B335" s="264" t="s">
        <v>2</v>
      </c>
      <c r="C335" s="10" t="s">
        <v>24</v>
      </c>
      <c r="D335" s="10" t="s">
        <v>16</v>
      </c>
      <c r="E335" s="12">
        <v>0</v>
      </c>
      <c r="F335" s="12">
        <v>0</v>
      </c>
      <c r="G335" s="12">
        <v>0</v>
      </c>
      <c r="H335" s="28">
        <v>0</v>
      </c>
    </row>
    <row r="336" spans="1:8" ht="14.5" thickBot="1">
      <c r="A336" s="286" t="s">
        <v>398</v>
      </c>
      <c r="B336" s="264" t="s">
        <v>2</v>
      </c>
      <c r="C336" s="9" t="s">
        <v>25</v>
      </c>
      <c r="D336" s="9" t="s">
        <v>16</v>
      </c>
      <c r="E336" s="11">
        <v>0</v>
      </c>
      <c r="F336" s="11">
        <v>0</v>
      </c>
      <c r="G336" s="11">
        <v>0</v>
      </c>
      <c r="H336" s="29">
        <v>0</v>
      </c>
    </row>
    <row r="337" spans="1:8" ht="14.5" thickBot="1">
      <c r="A337" s="286" t="s">
        <v>399</v>
      </c>
      <c r="B337" s="264" t="s">
        <v>2</v>
      </c>
      <c r="C337" s="10" t="s">
        <v>26</v>
      </c>
      <c r="D337" s="10" t="s">
        <v>13</v>
      </c>
      <c r="E337" s="12">
        <v>76.382585739720284</v>
      </c>
      <c r="F337" s="12">
        <v>1.1588331910168517</v>
      </c>
      <c r="G337" s="12">
        <v>74.943704286613581</v>
      </c>
      <c r="H337" s="28">
        <v>77.821467192826987</v>
      </c>
    </row>
    <row r="338" spans="1:8" ht="14.5" thickBot="1">
      <c r="A338" s="286" t="s">
        <v>400</v>
      </c>
      <c r="B338" s="264" t="s">
        <v>2</v>
      </c>
      <c r="C338" s="9" t="s">
        <v>27</v>
      </c>
      <c r="D338" s="9" t="s">
        <v>13</v>
      </c>
      <c r="E338" s="11">
        <v>89.4</v>
      </c>
      <c r="F338" s="11">
        <v>8.3546394296821695</v>
      </c>
      <c r="G338" s="11">
        <v>79.026345002929048</v>
      </c>
      <c r="H338" s="29">
        <v>99.773654997070963</v>
      </c>
    </row>
    <row r="339" spans="1:8" ht="14.5" thickBot="1">
      <c r="A339" s="286" t="s">
        <v>401</v>
      </c>
      <c r="B339" s="264" t="s">
        <v>2</v>
      </c>
      <c r="C339" s="10" t="s">
        <v>28</v>
      </c>
      <c r="D339" s="10" t="s">
        <v>29</v>
      </c>
      <c r="E339" s="12">
        <v>54.351256851378949</v>
      </c>
      <c r="F339" s="12">
        <v>1.578338322948259</v>
      </c>
      <c r="G339" s="12">
        <v>52.391490978928402</v>
      </c>
      <c r="H339" s="28">
        <v>56.311022723829495</v>
      </c>
    </row>
    <row r="340" spans="1:8" ht="14.5" thickBot="1">
      <c r="A340" s="286" t="s">
        <v>402</v>
      </c>
      <c r="B340" s="264" t="s">
        <v>2</v>
      </c>
      <c r="C340" s="9" t="s">
        <v>30</v>
      </c>
      <c r="D340" s="9" t="s">
        <v>29</v>
      </c>
      <c r="E340" s="11">
        <v>70.065200000000004</v>
      </c>
      <c r="F340" s="11">
        <v>5.3779606915633016</v>
      </c>
      <c r="G340" s="11">
        <v>63.387579826006544</v>
      </c>
      <c r="H340" s="29">
        <v>76.742820173993465</v>
      </c>
    </row>
    <row r="341" spans="1:8" ht="14.5" thickBot="1">
      <c r="A341" s="286" t="s">
        <v>403</v>
      </c>
      <c r="B341" s="264" t="s">
        <v>2</v>
      </c>
      <c r="C341" s="36" t="s">
        <v>31</v>
      </c>
      <c r="D341" s="36" t="s">
        <v>32</v>
      </c>
      <c r="E341" s="37">
        <v>0.17108348312137142</v>
      </c>
      <c r="F341" s="37">
        <v>2.1545558027970067E-3</v>
      </c>
      <c r="G341" s="37">
        <v>0.16840824874910795</v>
      </c>
      <c r="H341" s="38">
        <v>0.17375871749363489</v>
      </c>
    </row>
    <row r="342" spans="1:8" ht="14.5" thickBot="1">
      <c r="A342" s="286" t="s">
        <v>404</v>
      </c>
      <c r="B342" s="265" t="s">
        <v>3</v>
      </c>
      <c r="C342" s="25" t="s">
        <v>6</v>
      </c>
      <c r="D342" s="25" t="s">
        <v>7</v>
      </c>
      <c r="E342" s="26">
        <v>4.0149385799999893</v>
      </c>
      <c r="F342" s="26">
        <v>0.37592009232193563</v>
      </c>
      <c r="G342" s="26">
        <v>3.5481721351956588</v>
      </c>
      <c r="H342" s="27">
        <v>4.4817050248043193</v>
      </c>
    </row>
    <row r="343" spans="1:8" ht="14.5" thickBot="1">
      <c r="A343" s="286" t="s">
        <v>405</v>
      </c>
      <c r="B343" s="265" t="s">
        <v>87</v>
      </c>
      <c r="C343" s="10" t="s">
        <v>8</v>
      </c>
      <c r="D343" s="10" t="s">
        <v>9</v>
      </c>
      <c r="E343" s="12">
        <v>0.67353440362355121</v>
      </c>
      <c r="F343" s="12">
        <v>6.3063259909735894E-2</v>
      </c>
      <c r="G343" s="12">
        <v>0.59523102418984375</v>
      </c>
      <c r="H343" s="28">
        <v>0.75183778305725868</v>
      </c>
    </row>
    <row r="344" spans="1:8" ht="14.5" thickBot="1">
      <c r="A344" s="286" t="s">
        <v>406</v>
      </c>
      <c r="B344" s="265" t="s">
        <v>88</v>
      </c>
      <c r="C344" s="9" t="s">
        <v>10</v>
      </c>
      <c r="D344" s="9" t="s">
        <v>11</v>
      </c>
      <c r="E344" s="11">
        <v>1494.2281858644735</v>
      </c>
      <c r="F344" s="11">
        <v>127.31162667147342</v>
      </c>
      <c r="G344" s="11">
        <v>1336.1499224850083</v>
      </c>
      <c r="H344" s="29">
        <v>1652.3064492439387</v>
      </c>
    </row>
    <row r="345" spans="1:8" ht="14.5" thickBot="1">
      <c r="A345" s="286" t="s">
        <v>407</v>
      </c>
      <c r="B345" s="265" t="s">
        <v>89</v>
      </c>
      <c r="C345" s="291" t="s">
        <v>12</v>
      </c>
      <c r="D345" s="291" t="s">
        <v>13</v>
      </c>
      <c r="E345" s="292">
        <v>3.0889107951663415</v>
      </c>
      <c r="F345" s="292">
        <v>9.4072242349157453E-2</v>
      </c>
      <c r="G345" s="292">
        <v>2.9721046786194143</v>
      </c>
      <c r="H345" s="293">
        <v>3.2057169117132687</v>
      </c>
    </row>
    <row r="346" spans="1:8" ht="14.5" thickBot="1">
      <c r="A346" s="286" t="s">
        <v>408</v>
      </c>
      <c r="B346" s="265" t="s">
        <v>90</v>
      </c>
      <c r="C346" s="9" t="s">
        <v>14</v>
      </c>
      <c r="D346" s="9" t="s">
        <v>13</v>
      </c>
      <c r="E346" s="11">
        <v>5.07</v>
      </c>
      <c r="F346" s="11">
        <v>0.73833903543697299</v>
      </c>
      <c r="G346" s="11">
        <v>4.1532310012947278</v>
      </c>
      <c r="H346" s="29">
        <v>5.9867689987052728</v>
      </c>
    </row>
    <row r="347" spans="1:8" ht="14.5" thickBot="1">
      <c r="A347" s="286" t="s">
        <v>409</v>
      </c>
      <c r="B347" s="265" t="s">
        <v>91</v>
      </c>
      <c r="C347" s="10" t="s">
        <v>15</v>
      </c>
      <c r="D347" s="10" t="s">
        <v>16</v>
      </c>
      <c r="E347" s="12">
        <v>6996.21875</v>
      </c>
      <c r="F347" s="12">
        <v>18.266724330690423</v>
      </c>
      <c r="G347" s="12">
        <v>6973.5376160350852</v>
      </c>
      <c r="H347" s="28">
        <v>7018.8998839649148</v>
      </c>
    </row>
    <row r="348" spans="1:8" ht="14.5" thickBot="1">
      <c r="A348" s="286" t="s">
        <v>410</v>
      </c>
      <c r="B348" s="265" t="s">
        <v>92</v>
      </c>
      <c r="C348" s="297" t="s">
        <v>17</v>
      </c>
      <c r="D348" s="297" t="s">
        <v>16</v>
      </c>
      <c r="E348" s="298">
        <v>7447.0250901681975</v>
      </c>
      <c r="F348" s="298">
        <v>5.8198442734970728</v>
      </c>
      <c r="G348" s="298">
        <v>7439.7987990591582</v>
      </c>
      <c r="H348" s="299">
        <v>7454.2513812772368</v>
      </c>
    </row>
    <row r="349" spans="1:8" ht="14.5" thickBot="1">
      <c r="A349" s="286" t="s">
        <v>411</v>
      </c>
      <c r="B349" s="265" t="s">
        <v>93</v>
      </c>
      <c r="C349" s="10" t="s">
        <v>18</v>
      </c>
      <c r="D349" s="10" t="s">
        <v>16</v>
      </c>
      <c r="E349" s="12">
        <v>7478.3148437500004</v>
      </c>
      <c r="F349" s="12">
        <v>2.9986983972444974</v>
      </c>
      <c r="G349" s="12">
        <v>7474.5914679089356</v>
      </c>
      <c r="H349" s="28">
        <v>7482.0382195910652</v>
      </c>
    </row>
    <row r="350" spans="1:8" ht="14.5" thickBot="1">
      <c r="A350" s="286" t="s">
        <v>412</v>
      </c>
      <c r="B350" s="265" t="s">
        <v>94</v>
      </c>
      <c r="C350" s="9" t="s">
        <v>19</v>
      </c>
      <c r="D350" s="9" t="s">
        <v>16</v>
      </c>
      <c r="E350" s="11">
        <v>450.80634016819749</v>
      </c>
      <c r="F350" s="11">
        <v>12.483211217436903</v>
      </c>
      <c r="G350" s="11">
        <v>435.30638621863693</v>
      </c>
      <c r="H350" s="29">
        <v>466.30629411775806</v>
      </c>
    </row>
    <row r="351" spans="1:8" ht="14.5" thickBot="1">
      <c r="A351" s="286" t="s">
        <v>413</v>
      </c>
      <c r="B351" s="265" t="s">
        <v>95</v>
      </c>
      <c r="C351" s="10" t="s">
        <v>20</v>
      </c>
      <c r="D351" s="10" t="s">
        <v>16</v>
      </c>
      <c r="E351" s="12">
        <v>482.09609375000002</v>
      </c>
      <c r="F351" s="12">
        <v>15.340269134428484</v>
      </c>
      <c r="G351" s="12">
        <v>463.04863384438067</v>
      </c>
      <c r="H351" s="28">
        <v>501.14355365561937</v>
      </c>
    </row>
    <row r="352" spans="1:8" ht="14.5" thickBot="1">
      <c r="A352" s="286" t="s">
        <v>414</v>
      </c>
      <c r="B352" s="265" t="s">
        <v>96</v>
      </c>
      <c r="C352" s="9" t="s">
        <v>21</v>
      </c>
      <c r="D352" s="9" t="s">
        <v>16</v>
      </c>
      <c r="E352" s="11">
        <v>6982.83984375</v>
      </c>
      <c r="F352" s="11">
        <v>0</v>
      </c>
      <c r="G352" s="11">
        <v>6982.83984375</v>
      </c>
      <c r="H352" s="29">
        <v>6982.83984375</v>
      </c>
    </row>
    <row r="353" spans="1:8" ht="14.5" thickBot="1">
      <c r="A353" s="286" t="s">
        <v>415</v>
      </c>
      <c r="B353" s="265" t="s">
        <v>97</v>
      </c>
      <c r="C353" s="282" t="s">
        <v>22</v>
      </c>
      <c r="D353" s="282" t="s">
        <v>16</v>
      </c>
      <c r="E353" s="283">
        <v>6982.83984375</v>
      </c>
      <c r="F353" s="283">
        <v>0</v>
      </c>
      <c r="G353" s="283">
        <v>6982.83984375</v>
      </c>
      <c r="H353" s="284">
        <v>6982.83984375</v>
      </c>
    </row>
    <row r="354" spans="1:8" ht="14.5" thickBot="1">
      <c r="A354" s="286" t="s">
        <v>416</v>
      </c>
      <c r="B354" s="265" t="s">
        <v>98</v>
      </c>
      <c r="C354" s="9" t="s">
        <v>23</v>
      </c>
      <c r="D354" s="9" t="s">
        <v>16</v>
      </c>
      <c r="E354" s="11">
        <v>6982.83984375</v>
      </c>
      <c r="F354" s="11">
        <v>0</v>
      </c>
      <c r="G354" s="11">
        <v>6982.83984375</v>
      </c>
      <c r="H354" s="29">
        <v>6982.83984375</v>
      </c>
    </row>
    <row r="355" spans="1:8" ht="14.5" thickBot="1">
      <c r="A355" s="286" t="s">
        <v>417</v>
      </c>
      <c r="B355" s="265" t="s">
        <v>99</v>
      </c>
      <c r="C355" s="10" t="s">
        <v>24</v>
      </c>
      <c r="D355" s="10" t="s">
        <v>16</v>
      </c>
      <c r="E355" s="12">
        <v>0</v>
      </c>
      <c r="F355" s="12">
        <v>0</v>
      </c>
      <c r="G355" s="12">
        <v>0</v>
      </c>
      <c r="H355" s="28">
        <v>0</v>
      </c>
    </row>
    <row r="356" spans="1:8" ht="14.5" thickBot="1">
      <c r="A356" s="286" t="s">
        <v>418</v>
      </c>
      <c r="B356" s="265" t="s">
        <v>100</v>
      </c>
      <c r="C356" s="9" t="s">
        <v>25</v>
      </c>
      <c r="D356" s="9" t="s">
        <v>16</v>
      </c>
      <c r="E356" s="11">
        <v>0</v>
      </c>
      <c r="F356" s="11">
        <v>0</v>
      </c>
      <c r="G356" s="11">
        <v>0</v>
      </c>
      <c r="H356" s="29">
        <v>0</v>
      </c>
    </row>
    <row r="357" spans="1:8" ht="14.5" thickBot="1">
      <c r="A357" s="286" t="s">
        <v>419</v>
      </c>
      <c r="B357" s="265" t="s">
        <v>101</v>
      </c>
      <c r="C357" s="10" t="s">
        <v>26</v>
      </c>
      <c r="D357" s="10" t="s">
        <v>13</v>
      </c>
      <c r="E357" s="12">
        <v>72.007312514472858</v>
      </c>
      <c r="F357" s="12">
        <v>3.5484084958008837</v>
      </c>
      <c r="G357" s="12">
        <v>67.601381434630412</v>
      </c>
      <c r="H357" s="28">
        <v>76.413243594315304</v>
      </c>
    </row>
    <row r="358" spans="1:8" ht="14.5" thickBot="1">
      <c r="A358" s="286" t="s">
        <v>420</v>
      </c>
      <c r="B358" s="265" t="s">
        <v>102</v>
      </c>
      <c r="C358" s="9" t="s">
        <v>27</v>
      </c>
      <c r="D358" s="9" t="s">
        <v>13</v>
      </c>
      <c r="E358" s="11">
        <v>85.6</v>
      </c>
      <c r="F358" s="11">
        <v>4.3931765272977596</v>
      </c>
      <c r="G358" s="11">
        <v>80.145150868689129</v>
      </c>
      <c r="H358" s="29">
        <v>91.05484913131086</v>
      </c>
    </row>
    <row r="359" spans="1:8" ht="14.5" thickBot="1">
      <c r="A359" s="286" t="s">
        <v>421</v>
      </c>
      <c r="B359" s="265" t="s">
        <v>103</v>
      </c>
      <c r="C359" s="10" t="s">
        <v>28</v>
      </c>
      <c r="D359" s="10" t="s">
        <v>29</v>
      </c>
      <c r="E359" s="12">
        <v>46.485944693653259</v>
      </c>
      <c r="F359" s="12">
        <v>1.0194437572339747</v>
      </c>
      <c r="G359" s="12">
        <v>45.220138082192427</v>
      </c>
      <c r="H359" s="28">
        <v>47.751751305114091</v>
      </c>
    </row>
    <row r="360" spans="1:8" ht="14.5" thickBot="1">
      <c r="A360" s="286" t="s">
        <v>422</v>
      </c>
      <c r="B360" s="265" t="s">
        <v>104</v>
      </c>
      <c r="C360" s="9" t="s">
        <v>30</v>
      </c>
      <c r="D360" s="9" t="s">
        <v>29</v>
      </c>
      <c r="E360" s="11">
        <v>67.573399999999992</v>
      </c>
      <c r="F360" s="11">
        <v>5.6920717054513617</v>
      </c>
      <c r="G360" s="11">
        <v>60.505759488650234</v>
      </c>
      <c r="H360" s="29">
        <v>74.641040511349757</v>
      </c>
    </row>
    <row r="361" spans="1:8" ht="14.5" thickBot="1">
      <c r="A361" s="286" t="s">
        <v>423</v>
      </c>
      <c r="B361" s="265" t="s">
        <v>105</v>
      </c>
      <c r="C361" s="36" t="s">
        <v>31</v>
      </c>
      <c r="D361" s="36" t="s">
        <v>32</v>
      </c>
      <c r="E361" s="37">
        <v>5.2408791894761261E-2</v>
      </c>
      <c r="F361" s="37">
        <v>4.1695612285857992E-3</v>
      </c>
      <c r="G361" s="37">
        <v>4.7231597829288839E-2</v>
      </c>
      <c r="H361" s="38">
        <v>5.7585985960233683E-2</v>
      </c>
    </row>
    <row r="362" spans="1:8" ht="14.5" thickBot="1">
      <c r="A362" s="286" t="s">
        <v>424</v>
      </c>
      <c r="B362" s="264" t="s">
        <v>4</v>
      </c>
      <c r="C362" s="25" t="s">
        <v>6</v>
      </c>
      <c r="D362" s="25" t="s">
        <v>7</v>
      </c>
      <c r="E362" s="26">
        <v>2.1885354600000255</v>
      </c>
      <c r="F362" s="26">
        <v>0.27959238131755498</v>
      </c>
      <c r="G362" s="26">
        <v>1.8413756659706904</v>
      </c>
      <c r="H362" s="27">
        <v>2.5356952540293607</v>
      </c>
    </row>
    <row r="363" spans="1:8" ht="14.5" thickBot="1">
      <c r="A363" s="286" t="s">
        <v>425</v>
      </c>
      <c r="B363" s="264" t="s">
        <v>4</v>
      </c>
      <c r="C363" s="10" t="s">
        <v>8</v>
      </c>
      <c r="D363" s="10" t="s">
        <v>9</v>
      </c>
      <c r="E363" s="12">
        <v>0.72951182000000847</v>
      </c>
      <c r="F363" s="12">
        <v>9.3197460439185004E-2</v>
      </c>
      <c r="G363" s="12">
        <v>0.61379188865689671</v>
      </c>
      <c r="H363" s="28">
        <v>0.84523175134312023</v>
      </c>
    </row>
    <row r="364" spans="1:8" ht="14.5" thickBot="1">
      <c r="A364" s="286" t="s">
        <v>426</v>
      </c>
      <c r="B364" s="264" t="s">
        <v>4</v>
      </c>
      <c r="C364" s="9" t="s">
        <v>10</v>
      </c>
      <c r="D364" s="9" t="s">
        <v>11</v>
      </c>
      <c r="E364" s="11">
        <v>1386.5325240937841</v>
      </c>
      <c r="F364" s="11">
        <v>154.40890676428887</v>
      </c>
      <c r="G364" s="11">
        <v>1194.8085435762232</v>
      </c>
      <c r="H364" s="29">
        <v>1578.256504611345</v>
      </c>
    </row>
    <row r="365" spans="1:8" ht="14.5" thickBot="1">
      <c r="A365" s="286" t="s">
        <v>427</v>
      </c>
      <c r="B365" s="264" t="s">
        <v>4</v>
      </c>
      <c r="C365" s="291" t="s">
        <v>12</v>
      </c>
      <c r="D365" s="291" t="s">
        <v>13</v>
      </c>
      <c r="E365" s="292">
        <v>3.036244751082251</v>
      </c>
      <c r="F365" s="292">
        <v>5.6993163981546899E-2</v>
      </c>
      <c r="G365" s="292">
        <v>2.9654783912276823</v>
      </c>
      <c r="H365" s="293">
        <v>3.1070111109368197</v>
      </c>
    </row>
    <row r="366" spans="1:8" ht="14.5" thickBot="1">
      <c r="A366" s="286" t="s">
        <v>428</v>
      </c>
      <c r="B366" s="264" t="s">
        <v>4</v>
      </c>
      <c r="C366" s="9" t="s">
        <v>14</v>
      </c>
      <c r="D366" s="9" t="s">
        <v>13</v>
      </c>
      <c r="E366" s="11">
        <v>5.2700000000000005</v>
      </c>
      <c r="F366" s="11">
        <v>1.3592180225455002</v>
      </c>
      <c r="G366" s="11">
        <v>3.5823079158157718</v>
      </c>
      <c r="H366" s="29">
        <v>6.9576920841842291</v>
      </c>
    </row>
    <row r="367" spans="1:8" ht="14.5" thickBot="1">
      <c r="A367" s="286" t="s">
        <v>429</v>
      </c>
      <c r="B367" s="264" t="s">
        <v>4</v>
      </c>
      <c r="C367" s="10" t="s">
        <v>15</v>
      </c>
      <c r="D367" s="10" t="s">
        <v>16</v>
      </c>
      <c r="E367" s="12">
        <v>6267.16015625</v>
      </c>
      <c r="F367" s="12">
        <v>15.076368350149664</v>
      </c>
      <c r="G367" s="12">
        <v>6248.4403724472941</v>
      </c>
      <c r="H367" s="28">
        <v>6285.8799400527059</v>
      </c>
    </row>
    <row r="368" spans="1:8" ht="14.5" thickBot="1">
      <c r="A368" s="286" t="s">
        <v>430</v>
      </c>
      <c r="B368" s="264" t="s">
        <v>4</v>
      </c>
      <c r="C368" s="297" t="s">
        <v>17</v>
      </c>
      <c r="D368" s="297" t="s">
        <v>16</v>
      </c>
      <c r="E368" s="298">
        <v>6498.7845106872292</v>
      </c>
      <c r="F368" s="298">
        <v>5.4895277434582335</v>
      </c>
      <c r="G368" s="298">
        <v>6491.9683617215223</v>
      </c>
      <c r="H368" s="299">
        <v>6505.600659652936</v>
      </c>
    </row>
    <row r="369" spans="1:8" ht="14.5" thickBot="1">
      <c r="A369" s="286" t="s">
        <v>431</v>
      </c>
      <c r="B369" s="264" t="s">
        <v>4</v>
      </c>
      <c r="C369" s="10" t="s">
        <v>18</v>
      </c>
      <c r="D369" s="10" t="s">
        <v>16</v>
      </c>
      <c r="E369" s="12">
        <v>6531.8625000000002</v>
      </c>
      <c r="F369" s="12">
        <v>0.49430966105835417</v>
      </c>
      <c r="G369" s="12">
        <v>6531.2487334899433</v>
      </c>
      <c r="H369" s="28">
        <v>6532.476266510057</v>
      </c>
    </row>
    <row r="370" spans="1:8" ht="14.5" thickBot="1">
      <c r="A370" s="286" t="s">
        <v>432</v>
      </c>
      <c r="B370" s="264" t="s">
        <v>4</v>
      </c>
      <c r="C370" s="9" t="s">
        <v>19</v>
      </c>
      <c r="D370" s="9" t="s">
        <v>16</v>
      </c>
      <c r="E370" s="11">
        <v>231.62435443722933</v>
      </c>
      <c r="F370" s="11">
        <v>9.8713977947555502</v>
      </c>
      <c r="G370" s="11">
        <v>219.36739518440652</v>
      </c>
      <c r="H370" s="29">
        <v>243.88131369005214</v>
      </c>
    </row>
    <row r="371" spans="1:8" ht="14.5" thickBot="1">
      <c r="A371" s="286" t="s">
        <v>433</v>
      </c>
      <c r="B371" s="264" t="s">
        <v>4</v>
      </c>
      <c r="C371" s="10" t="s">
        <v>20</v>
      </c>
      <c r="D371" s="10" t="s">
        <v>16</v>
      </c>
      <c r="E371" s="12">
        <v>264.70234375000001</v>
      </c>
      <c r="F371" s="12">
        <v>14.591669794529279</v>
      </c>
      <c r="G371" s="12">
        <v>246.58439269374639</v>
      </c>
      <c r="H371" s="28">
        <v>282.82029480625363</v>
      </c>
    </row>
    <row r="372" spans="1:8" ht="14.5" thickBot="1">
      <c r="A372" s="286" t="s">
        <v>434</v>
      </c>
      <c r="B372" s="264" t="s">
        <v>4</v>
      </c>
      <c r="C372" s="9" t="s">
        <v>21</v>
      </c>
      <c r="D372" s="9" t="s">
        <v>16</v>
      </c>
      <c r="E372" s="11">
        <v>6983.02734375</v>
      </c>
      <c r="F372" s="11">
        <v>0</v>
      </c>
      <c r="G372" s="11">
        <v>6983.02734375</v>
      </c>
      <c r="H372" s="29">
        <v>6983.02734375</v>
      </c>
    </row>
    <row r="373" spans="1:8" ht="14.5" thickBot="1">
      <c r="A373" s="286" t="s">
        <v>435</v>
      </c>
      <c r="B373" s="264" t="s">
        <v>4</v>
      </c>
      <c r="C373" s="282" t="s">
        <v>22</v>
      </c>
      <c r="D373" s="282" t="s">
        <v>16</v>
      </c>
      <c r="E373" s="283">
        <v>6983.02734375</v>
      </c>
      <c r="F373" s="283">
        <v>0</v>
      </c>
      <c r="G373" s="283">
        <v>6983.02734375</v>
      </c>
      <c r="H373" s="284">
        <v>6983.02734375</v>
      </c>
    </row>
    <row r="374" spans="1:8" ht="14.5" thickBot="1">
      <c r="A374" s="286" t="s">
        <v>436</v>
      </c>
      <c r="B374" s="264" t="s">
        <v>4</v>
      </c>
      <c r="C374" s="9" t="s">
        <v>23</v>
      </c>
      <c r="D374" s="9" t="s">
        <v>16</v>
      </c>
      <c r="E374" s="11">
        <v>6983.02734375</v>
      </c>
      <c r="F374" s="11">
        <v>0</v>
      </c>
      <c r="G374" s="11">
        <v>6983.02734375</v>
      </c>
      <c r="H374" s="29">
        <v>6983.02734375</v>
      </c>
    </row>
    <row r="375" spans="1:8" ht="14.5" thickBot="1">
      <c r="A375" s="286" t="s">
        <v>437</v>
      </c>
      <c r="B375" s="264" t="s">
        <v>4</v>
      </c>
      <c r="C375" s="10" t="s">
        <v>24</v>
      </c>
      <c r="D375" s="10" t="s">
        <v>16</v>
      </c>
      <c r="E375" s="12">
        <v>0</v>
      </c>
      <c r="F375" s="12">
        <v>0</v>
      </c>
      <c r="G375" s="12">
        <v>0</v>
      </c>
      <c r="H375" s="28">
        <v>0</v>
      </c>
    </row>
    <row r="376" spans="1:8" ht="14.5" thickBot="1">
      <c r="A376" s="286" t="s">
        <v>438</v>
      </c>
      <c r="B376" s="264" t="s">
        <v>4</v>
      </c>
      <c r="C376" s="9" t="s">
        <v>25</v>
      </c>
      <c r="D376" s="9" t="s">
        <v>16</v>
      </c>
      <c r="E376" s="11">
        <v>0</v>
      </c>
      <c r="F376" s="11">
        <v>0</v>
      </c>
      <c r="G376" s="11">
        <v>0</v>
      </c>
      <c r="H376" s="29">
        <v>0</v>
      </c>
    </row>
    <row r="377" spans="1:8" ht="14.5" thickBot="1">
      <c r="A377" s="286" t="s">
        <v>439</v>
      </c>
      <c r="B377" s="264" t="s">
        <v>4</v>
      </c>
      <c r="C377" s="10" t="s">
        <v>26</v>
      </c>
      <c r="D377" s="10" t="s">
        <v>13</v>
      </c>
      <c r="E377" s="12">
        <v>67.294415584415589</v>
      </c>
      <c r="F377" s="12">
        <v>6.4332802845325308</v>
      </c>
      <c r="G377" s="12">
        <v>59.30644306532654</v>
      </c>
      <c r="H377" s="28">
        <v>75.282388103504644</v>
      </c>
    </row>
    <row r="378" spans="1:8" ht="14.5" thickBot="1">
      <c r="A378" s="286" t="s">
        <v>440</v>
      </c>
      <c r="B378" s="264" t="s">
        <v>4</v>
      </c>
      <c r="C378" s="9" t="s">
        <v>27</v>
      </c>
      <c r="D378" s="9" t="s">
        <v>13</v>
      </c>
      <c r="E378" s="11">
        <v>87.6</v>
      </c>
      <c r="F378" s="11">
        <v>7.0922492905988577</v>
      </c>
      <c r="G378" s="11">
        <v>78.793809390204558</v>
      </c>
      <c r="H378" s="29">
        <v>96.406190609795431</v>
      </c>
    </row>
    <row r="379" spans="1:8" ht="14.5" thickBot="1">
      <c r="A379" s="286" t="s">
        <v>441</v>
      </c>
      <c r="B379" s="264" t="s">
        <v>4</v>
      </c>
      <c r="C379" s="10" t="s">
        <v>28</v>
      </c>
      <c r="D379" s="10" t="s">
        <v>29</v>
      </c>
      <c r="E379" s="12">
        <v>36.949138978354981</v>
      </c>
      <c r="F379" s="12">
        <v>2.3844605461404869</v>
      </c>
      <c r="G379" s="12">
        <v>33.988440163285972</v>
      </c>
      <c r="H379" s="28">
        <v>39.909837793423989</v>
      </c>
    </row>
    <row r="380" spans="1:8" ht="14.5" thickBot="1">
      <c r="A380" s="286" t="s">
        <v>442</v>
      </c>
      <c r="B380" s="264" t="s">
        <v>4</v>
      </c>
      <c r="C380" s="9" t="s">
        <v>30</v>
      </c>
      <c r="D380" s="9" t="s">
        <v>29</v>
      </c>
      <c r="E380" s="11">
        <v>65.447000000000003</v>
      </c>
      <c r="F380" s="11">
        <v>4.1744638577906006</v>
      </c>
      <c r="G380" s="11">
        <v>60.263718516347872</v>
      </c>
      <c r="H380" s="29">
        <v>70.630281483652126</v>
      </c>
    </row>
    <row r="381" spans="1:8" ht="14.5" thickBot="1">
      <c r="A381" s="286" t="s">
        <v>443</v>
      </c>
      <c r="B381" s="264" t="s">
        <v>4</v>
      </c>
      <c r="C381" s="36" t="s">
        <v>31</v>
      </c>
      <c r="D381" s="36" t="s">
        <v>32</v>
      </c>
      <c r="E381" s="37">
        <v>2.3122442425969513E-2</v>
      </c>
      <c r="F381" s="37">
        <v>3.3701405436866358E-3</v>
      </c>
      <c r="G381" s="37">
        <v>1.8937860244285065E-2</v>
      </c>
      <c r="H381" s="38">
        <v>2.7307024607653961E-2</v>
      </c>
    </row>
    <row r="382" spans="1:8" ht="14.5" thickBot="1">
      <c r="A382" s="286" t="s">
        <v>444</v>
      </c>
      <c r="B382" s="265" t="s">
        <v>5</v>
      </c>
      <c r="C382" s="15" t="s">
        <v>6</v>
      </c>
      <c r="D382" s="15" t="s">
        <v>7</v>
      </c>
      <c r="E382" s="16">
        <v>1.9095996200000003</v>
      </c>
      <c r="F382" s="16">
        <v>0.51508755060393974</v>
      </c>
      <c r="G382" s="16">
        <v>1.2700339525376914</v>
      </c>
      <c r="H382" s="59">
        <v>2.5491652874623094</v>
      </c>
    </row>
    <row r="383" spans="1:8" ht="14.5" thickBot="1">
      <c r="A383" s="286" t="s">
        <v>445</v>
      </c>
      <c r="B383" s="265" t="s">
        <v>5</v>
      </c>
      <c r="C383" s="10" t="s">
        <v>8</v>
      </c>
      <c r="D383" s="10" t="s">
        <v>9</v>
      </c>
      <c r="E383" s="12">
        <v>0.77155540202020212</v>
      </c>
      <c r="F383" s="12">
        <v>0.20811618206219781</v>
      </c>
      <c r="G383" s="12">
        <v>0.5131450313283602</v>
      </c>
      <c r="H383" s="28">
        <v>1.0299657727120439</v>
      </c>
    </row>
    <row r="384" spans="1:8" ht="14.5" thickBot="1">
      <c r="A384" s="286" t="s">
        <v>446</v>
      </c>
      <c r="B384" s="265" t="s">
        <v>5</v>
      </c>
      <c r="C384" s="9" t="s">
        <v>10</v>
      </c>
      <c r="D384" s="9" t="s">
        <v>11</v>
      </c>
      <c r="E384" s="11">
        <v>1354.0678799021309</v>
      </c>
      <c r="F384" s="11">
        <v>268.83949103774779</v>
      </c>
      <c r="G384" s="11">
        <v>1020.2595626089164</v>
      </c>
      <c r="H384" s="29">
        <v>1687.8761971953454</v>
      </c>
    </row>
    <row r="385" spans="1:8" ht="14.5" thickBot="1">
      <c r="A385" s="286" t="s">
        <v>447</v>
      </c>
      <c r="B385" s="265" t="s">
        <v>5</v>
      </c>
      <c r="C385" s="291" t="s">
        <v>12</v>
      </c>
      <c r="D385" s="291" t="s">
        <v>13</v>
      </c>
      <c r="E385" s="292">
        <v>2.8867728758169937</v>
      </c>
      <c r="F385" s="292">
        <v>0.17365703184501263</v>
      </c>
      <c r="G385" s="292">
        <v>2.6711491913554779</v>
      </c>
      <c r="H385" s="293">
        <v>3.1023965602785095</v>
      </c>
    </row>
    <row r="386" spans="1:8" ht="14.5" thickBot="1">
      <c r="A386" s="286" t="s">
        <v>448</v>
      </c>
      <c r="B386" s="265" t="s">
        <v>5</v>
      </c>
      <c r="C386" s="9" t="s">
        <v>14</v>
      </c>
      <c r="D386" s="9" t="s">
        <v>13</v>
      </c>
      <c r="E386" s="11">
        <v>4.1487499999999997</v>
      </c>
      <c r="F386" s="11">
        <v>0.79442822894047516</v>
      </c>
      <c r="G386" s="11">
        <v>3.1623370690381059</v>
      </c>
      <c r="H386" s="29">
        <v>5.1351629309618936</v>
      </c>
    </row>
    <row r="387" spans="1:8" ht="14.5" thickBot="1">
      <c r="A387" s="286" t="s">
        <v>449</v>
      </c>
      <c r="B387" s="265" t="s">
        <v>5</v>
      </c>
      <c r="C387" s="10" t="s">
        <v>15</v>
      </c>
      <c r="D387" s="10" t="s">
        <v>16</v>
      </c>
      <c r="E387" s="12">
        <v>5237.2054687500004</v>
      </c>
      <c r="F387" s="12">
        <v>14.020645069296194</v>
      </c>
      <c r="G387" s="12">
        <v>5219.7965385371026</v>
      </c>
      <c r="H387" s="28">
        <v>5254.6143989628981</v>
      </c>
    </row>
    <row r="388" spans="1:8" ht="14.5" thickBot="1">
      <c r="A388" s="286" t="s">
        <v>450</v>
      </c>
      <c r="B388" s="265" t="s">
        <v>5</v>
      </c>
      <c r="C388" s="297" t="s">
        <v>17</v>
      </c>
      <c r="D388" s="297" t="s">
        <v>16</v>
      </c>
      <c r="E388" s="298">
        <v>5429.7190308415029</v>
      </c>
      <c r="F388" s="298">
        <v>4.8180848647426542</v>
      </c>
      <c r="G388" s="298">
        <v>5423.7365883250877</v>
      </c>
      <c r="H388" s="299">
        <v>5435.7014733579181</v>
      </c>
    </row>
    <row r="389" spans="1:8" ht="14.5" thickBot="1">
      <c r="A389" s="286" t="s">
        <v>451</v>
      </c>
      <c r="B389" s="265" t="s">
        <v>5</v>
      </c>
      <c r="C389" s="10" t="s">
        <v>18</v>
      </c>
      <c r="D389" s="10" t="s">
        <v>16</v>
      </c>
      <c r="E389" s="12">
        <v>5463.0773437500002</v>
      </c>
      <c r="F389" s="12">
        <v>0.92816971693624006</v>
      </c>
      <c r="G389" s="12">
        <v>5461.9248688283396</v>
      </c>
      <c r="H389" s="28">
        <v>5464.2298186716607</v>
      </c>
    </row>
    <row r="390" spans="1:8" ht="14.5" thickBot="1">
      <c r="A390" s="286" t="s">
        <v>452</v>
      </c>
      <c r="B390" s="265" t="s">
        <v>5</v>
      </c>
      <c r="C390" s="9" t="s">
        <v>19</v>
      </c>
      <c r="D390" s="9" t="s">
        <v>16</v>
      </c>
      <c r="E390" s="11">
        <v>192.51356209150327</v>
      </c>
      <c r="F390" s="11">
        <v>9.2485784119335595</v>
      </c>
      <c r="G390" s="11">
        <v>181.02993524365891</v>
      </c>
      <c r="H390" s="29">
        <v>203.99718893934764</v>
      </c>
    </row>
    <row r="391" spans="1:8" ht="14.5" thickBot="1">
      <c r="A391" s="286" t="s">
        <v>453</v>
      </c>
      <c r="B391" s="265" t="s">
        <v>5</v>
      </c>
      <c r="C391" s="10" t="s">
        <v>20</v>
      </c>
      <c r="D391" s="10" t="s">
        <v>16</v>
      </c>
      <c r="E391" s="12">
        <v>225.87187499999999</v>
      </c>
      <c r="F391" s="12">
        <v>13.201408507597689</v>
      </c>
      <c r="G391" s="12">
        <v>209.48016133170279</v>
      </c>
      <c r="H391" s="28">
        <v>242.26358866829719</v>
      </c>
    </row>
    <row r="392" spans="1:8" ht="14.5" thickBot="1">
      <c r="A392" s="286" t="s">
        <v>454</v>
      </c>
      <c r="B392" s="265" t="s">
        <v>5</v>
      </c>
      <c r="C392" s="9" t="s">
        <v>21</v>
      </c>
      <c r="D392" s="9" t="s">
        <v>16</v>
      </c>
      <c r="E392" s="11">
        <v>6983.02734375</v>
      </c>
      <c r="F392" s="11">
        <v>0</v>
      </c>
      <c r="G392" s="11">
        <v>6983.02734375</v>
      </c>
      <c r="H392" s="29">
        <v>6983.02734375</v>
      </c>
    </row>
    <row r="393" spans="1:8" ht="14.5" thickBot="1">
      <c r="A393" s="286" t="s">
        <v>455</v>
      </c>
      <c r="B393" s="265" t="s">
        <v>5</v>
      </c>
      <c r="C393" s="282" t="s">
        <v>22</v>
      </c>
      <c r="D393" s="282" t="s">
        <v>16</v>
      </c>
      <c r="E393" s="283">
        <v>6983.02734375</v>
      </c>
      <c r="F393" s="283">
        <v>0</v>
      </c>
      <c r="G393" s="283">
        <v>6983.02734375</v>
      </c>
      <c r="H393" s="284">
        <v>6983.02734375</v>
      </c>
    </row>
    <row r="394" spans="1:8" ht="14.5" thickBot="1">
      <c r="A394" s="286" t="s">
        <v>456</v>
      </c>
      <c r="B394" s="265" t="s">
        <v>5</v>
      </c>
      <c r="C394" s="9" t="s">
        <v>23</v>
      </c>
      <c r="D394" s="9" t="s">
        <v>16</v>
      </c>
      <c r="E394" s="11">
        <v>6983.02734375</v>
      </c>
      <c r="F394" s="11">
        <v>0</v>
      </c>
      <c r="G394" s="11">
        <v>6983.02734375</v>
      </c>
      <c r="H394" s="29">
        <v>6983.02734375</v>
      </c>
    </row>
    <row r="395" spans="1:8" ht="14.5" thickBot="1">
      <c r="A395" s="286" t="s">
        <v>457</v>
      </c>
      <c r="B395" s="265" t="s">
        <v>5</v>
      </c>
      <c r="C395" s="10" t="s">
        <v>24</v>
      </c>
      <c r="D395" s="10" t="s">
        <v>16</v>
      </c>
      <c r="E395" s="12">
        <v>0</v>
      </c>
      <c r="F395" s="12">
        <v>0</v>
      </c>
      <c r="G395" s="12">
        <v>0</v>
      </c>
      <c r="H395" s="28">
        <v>0</v>
      </c>
    </row>
    <row r="396" spans="1:8" ht="14.5" thickBot="1">
      <c r="A396" s="286" t="s">
        <v>458</v>
      </c>
      <c r="B396" s="265" t="s">
        <v>5</v>
      </c>
      <c r="C396" s="9" t="s">
        <v>25</v>
      </c>
      <c r="D396" s="9" t="s">
        <v>16</v>
      </c>
      <c r="E396" s="11">
        <v>0</v>
      </c>
      <c r="F396" s="11">
        <v>0</v>
      </c>
      <c r="G396" s="11">
        <v>0</v>
      </c>
      <c r="H396" s="29">
        <v>0</v>
      </c>
    </row>
    <row r="397" spans="1:8" ht="14.5" thickBot="1">
      <c r="A397" s="286" t="s">
        <v>459</v>
      </c>
      <c r="B397" s="265" t="s">
        <v>5</v>
      </c>
      <c r="C397" s="10" t="s">
        <v>26</v>
      </c>
      <c r="D397" s="10" t="s">
        <v>13</v>
      </c>
      <c r="E397" s="12">
        <v>64.431808278867095</v>
      </c>
      <c r="F397" s="12">
        <v>4.9820031055996665</v>
      </c>
      <c r="G397" s="12">
        <v>58.245834384145333</v>
      </c>
      <c r="H397" s="28">
        <v>70.617782173588864</v>
      </c>
    </row>
    <row r="398" spans="1:8" ht="14.5" thickBot="1">
      <c r="A398" s="286" t="s">
        <v>460</v>
      </c>
      <c r="B398" s="265" t="s">
        <v>5</v>
      </c>
      <c r="C398" s="9" t="s">
        <v>27</v>
      </c>
      <c r="D398" s="9" t="s">
        <v>13</v>
      </c>
      <c r="E398" s="11">
        <v>89.8</v>
      </c>
      <c r="F398" s="11">
        <v>7.5299402388066801</v>
      </c>
      <c r="G398" s="11">
        <v>80.450344297513951</v>
      </c>
      <c r="H398" s="29">
        <v>99.149655702486044</v>
      </c>
    </row>
    <row r="399" spans="1:8" ht="14.5" thickBot="1">
      <c r="A399" s="286" t="s">
        <v>461</v>
      </c>
      <c r="B399" s="265" t="s">
        <v>5</v>
      </c>
      <c r="C399" s="10" t="s">
        <v>28</v>
      </c>
      <c r="D399" s="10" t="s">
        <v>29</v>
      </c>
      <c r="E399" s="12">
        <v>28.644792374727668</v>
      </c>
      <c r="F399" s="12">
        <v>2.7125719539204005</v>
      </c>
      <c r="G399" s="12">
        <v>25.276689437247409</v>
      </c>
      <c r="H399" s="28">
        <v>32.012895312207924</v>
      </c>
    </row>
    <row r="400" spans="1:8" ht="14.5" thickBot="1">
      <c r="A400" s="286" t="s">
        <v>462</v>
      </c>
      <c r="B400" s="265" t="s">
        <v>5</v>
      </c>
      <c r="C400" s="9" t="s">
        <v>30</v>
      </c>
      <c r="D400" s="9" t="s">
        <v>29</v>
      </c>
      <c r="E400" s="11">
        <v>64.160799999999995</v>
      </c>
      <c r="F400" s="11">
        <v>2.2666450317594933</v>
      </c>
      <c r="G400" s="11">
        <v>61.346388467557304</v>
      </c>
      <c r="H400" s="29">
        <v>66.975211532442685</v>
      </c>
    </row>
    <row r="401" spans="1:8" ht="14.5" thickBot="1">
      <c r="A401" s="286" t="s">
        <v>463</v>
      </c>
      <c r="B401" s="265" t="s">
        <v>5</v>
      </c>
      <c r="C401" s="36" t="s">
        <v>31</v>
      </c>
      <c r="D401" s="36" t="s">
        <v>32</v>
      </c>
      <c r="E401" s="37">
        <v>1.4751200382652823E-2</v>
      </c>
      <c r="F401" s="37">
        <v>1.9212954615990541E-3</v>
      </c>
      <c r="G401" s="37">
        <v>1.2365596978242945E-2</v>
      </c>
      <c r="H401" s="38">
        <v>1.7136803787062702E-2</v>
      </c>
    </row>
    <row r="402" spans="1:8" ht="14.5" thickBot="1">
      <c r="A402" s="285" t="s">
        <v>73</v>
      </c>
      <c r="B402" s="264" t="s">
        <v>2</v>
      </c>
      <c r="C402" s="15" t="s">
        <v>6</v>
      </c>
      <c r="D402" s="15" t="s">
        <v>7</v>
      </c>
      <c r="E402" s="16">
        <v>129.64294304000001</v>
      </c>
      <c r="F402" s="16">
        <v>6.8663754912186716</v>
      </c>
      <c r="G402" s="16">
        <v>121.11721179501247</v>
      </c>
      <c r="H402" s="59">
        <v>138.16867428498756</v>
      </c>
    </row>
    <row r="403" spans="1:8" ht="14.5" thickBot="1">
      <c r="A403" s="285" t="s">
        <v>369</v>
      </c>
      <c r="B403" s="264" t="s">
        <v>2</v>
      </c>
      <c r="C403" s="10" t="s">
        <v>8</v>
      </c>
      <c r="D403" s="10" t="s">
        <v>9</v>
      </c>
      <c r="E403" s="12">
        <v>7.2023857244444445</v>
      </c>
      <c r="F403" s="12">
        <v>0.38146530506770393</v>
      </c>
      <c r="G403" s="12">
        <v>6.7287339886118032</v>
      </c>
      <c r="H403" s="28">
        <v>7.6760374602770858</v>
      </c>
    </row>
    <row r="404" spans="1:8" ht="14.5" thickBot="1">
      <c r="A404" s="285" t="s">
        <v>370</v>
      </c>
      <c r="B404" s="264" t="s">
        <v>2</v>
      </c>
      <c r="C404" s="9" t="s">
        <v>10</v>
      </c>
      <c r="D404" s="9" t="s">
        <v>11</v>
      </c>
      <c r="E404" s="11">
        <v>139.15200077465263</v>
      </c>
      <c r="F404" s="11">
        <v>7.2986152207598733</v>
      </c>
      <c r="G404" s="11">
        <v>130.08957301893869</v>
      </c>
      <c r="H404" s="29">
        <v>148.21442853036658</v>
      </c>
    </row>
    <row r="405" spans="1:8" ht="14.5" thickBot="1">
      <c r="A405" s="285" t="s">
        <v>371</v>
      </c>
      <c r="B405" s="264" t="s">
        <v>2</v>
      </c>
      <c r="C405" s="291" t="s">
        <v>12</v>
      </c>
      <c r="D405" s="291" t="s">
        <v>13</v>
      </c>
      <c r="E405" s="292">
        <v>2.9285179846636682</v>
      </c>
      <c r="F405" s="292">
        <v>2.0995501570958044E-2</v>
      </c>
      <c r="G405" s="292">
        <v>2.9024486262406364</v>
      </c>
      <c r="H405" s="293">
        <v>2.9545873430867</v>
      </c>
    </row>
    <row r="406" spans="1:8" ht="14.5" thickBot="1">
      <c r="A406" s="285" t="s">
        <v>372</v>
      </c>
      <c r="B406" s="264" t="s">
        <v>2</v>
      </c>
      <c r="C406" s="9" t="s">
        <v>14</v>
      </c>
      <c r="D406" s="9" t="s">
        <v>13</v>
      </c>
      <c r="E406" s="11">
        <v>7.4593749999999996</v>
      </c>
      <c r="F406" s="11">
        <v>1.3788847820566805</v>
      </c>
      <c r="G406" s="11">
        <v>5.747263408571146</v>
      </c>
      <c r="H406" s="29">
        <v>9.1714865914288524</v>
      </c>
    </row>
    <row r="407" spans="1:8" ht="14.5" thickBot="1">
      <c r="A407" s="285" t="s">
        <v>373</v>
      </c>
      <c r="B407" s="264" t="s">
        <v>2</v>
      </c>
      <c r="C407" s="10" t="s">
        <v>15</v>
      </c>
      <c r="D407" s="10" t="s">
        <v>16</v>
      </c>
      <c r="E407" s="12">
        <v>8794.3468749999993</v>
      </c>
      <c r="F407" s="12">
        <v>4.9982566846105358</v>
      </c>
      <c r="G407" s="12">
        <v>8788.1407196213786</v>
      </c>
      <c r="H407" s="28">
        <v>8800.55303037862</v>
      </c>
    </row>
    <row r="408" spans="1:8" ht="14.5" thickBot="1">
      <c r="A408" s="285" t="s">
        <v>374</v>
      </c>
      <c r="B408" s="264" t="s">
        <v>2</v>
      </c>
      <c r="C408" s="297" t="s">
        <v>17</v>
      </c>
      <c r="D408" s="297" t="s">
        <v>16</v>
      </c>
      <c r="E408" s="298">
        <v>8796.4179294210808</v>
      </c>
      <c r="F408" s="298">
        <v>0.74216043284348832</v>
      </c>
      <c r="G408" s="298">
        <v>8795.4964155307935</v>
      </c>
      <c r="H408" s="299">
        <v>8797.3394433113681</v>
      </c>
    </row>
    <row r="409" spans="1:8" ht="14.5" thickBot="1">
      <c r="A409" s="285" t="s">
        <v>375</v>
      </c>
      <c r="B409" s="264" t="s">
        <v>2</v>
      </c>
      <c r="C409" s="10" t="s">
        <v>18</v>
      </c>
      <c r="D409" s="10" t="s">
        <v>16</v>
      </c>
      <c r="E409" s="12">
        <v>8801.2523437500004</v>
      </c>
      <c r="F409" s="12">
        <v>0.34958864289087144</v>
      </c>
      <c r="G409" s="12">
        <v>8800.8182721179728</v>
      </c>
      <c r="H409" s="28">
        <v>8801.6864153820279</v>
      </c>
    </row>
    <row r="410" spans="1:8" ht="14.5" thickBot="1">
      <c r="A410" s="285" t="s">
        <v>376</v>
      </c>
      <c r="B410" s="264" t="s">
        <v>2</v>
      </c>
      <c r="C410" s="9" t="s">
        <v>19</v>
      </c>
      <c r="D410" s="9" t="s">
        <v>16</v>
      </c>
      <c r="E410" s="11">
        <v>2.0710544210814987</v>
      </c>
      <c r="F410" s="11">
        <v>4.2584793962376146</v>
      </c>
      <c r="G410" s="11">
        <v>-3.2165461319425619</v>
      </c>
      <c r="H410" s="29">
        <v>7.3586549741055594</v>
      </c>
    </row>
    <row r="411" spans="1:8" ht="14.5" thickBot="1">
      <c r="A411" s="285" t="s">
        <v>377</v>
      </c>
      <c r="B411" s="264" t="s">
        <v>2</v>
      </c>
      <c r="C411" s="10" t="s">
        <v>20</v>
      </c>
      <c r="D411" s="10" t="s">
        <v>16</v>
      </c>
      <c r="E411" s="12">
        <v>6.9054687499999998</v>
      </c>
      <c r="F411" s="12">
        <v>4.6540009052716709</v>
      </c>
      <c r="G411" s="12">
        <v>1.1267633787281133</v>
      </c>
      <c r="H411" s="28">
        <v>12.684174121271887</v>
      </c>
    </row>
    <row r="412" spans="1:8" ht="14.5" thickBot="1">
      <c r="A412" s="285" t="s">
        <v>378</v>
      </c>
      <c r="B412" s="264" t="s">
        <v>2</v>
      </c>
      <c r="C412" s="9" t="s">
        <v>21</v>
      </c>
      <c r="D412" s="9" t="s">
        <v>16</v>
      </c>
      <c r="E412" s="11">
        <v>2536.734375</v>
      </c>
      <c r="F412" s="11">
        <v>0</v>
      </c>
      <c r="G412" s="11">
        <v>2536.734375</v>
      </c>
      <c r="H412" s="29">
        <v>2536.734375</v>
      </c>
    </row>
    <row r="413" spans="1:8" ht="14.5" thickBot="1">
      <c r="A413" s="285" t="s">
        <v>379</v>
      </c>
      <c r="B413" s="264" t="s">
        <v>2</v>
      </c>
      <c r="C413" s="282" t="s">
        <v>22</v>
      </c>
      <c r="D413" s="282" t="s">
        <v>16</v>
      </c>
      <c r="E413" s="283">
        <v>2636.4457791043415</v>
      </c>
      <c r="F413" s="283">
        <v>2.3271123174612589E-2</v>
      </c>
      <c r="G413" s="283">
        <v>2636.4168841884998</v>
      </c>
      <c r="H413" s="284">
        <v>2636.4746740201831</v>
      </c>
    </row>
    <row r="414" spans="1:8" ht="14.5" thickBot="1">
      <c r="A414" s="285" t="s">
        <v>380</v>
      </c>
      <c r="B414" s="264" t="s">
        <v>2</v>
      </c>
      <c r="C414" s="9" t="s">
        <v>23</v>
      </c>
      <c r="D414" s="9" t="s">
        <v>16</v>
      </c>
      <c r="E414" s="11">
        <v>2636.734375</v>
      </c>
      <c r="F414" s="11">
        <v>0</v>
      </c>
      <c r="G414" s="11">
        <v>2636.734375</v>
      </c>
      <c r="H414" s="29">
        <v>2636.734375</v>
      </c>
    </row>
    <row r="415" spans="1:8" ht="14.5" thickBot="1">
      <c r="A415" s="285" t="s">
        <v>381</v>
      </c>
      <c r="B415" s="264" t="s">
        <v>2</v>
      </c>
      <c r="C415" s="10" t="s">
        <v>24</v>
      </c>
      <c r="D415" s="10" t="s">
        <v>16</v>
      </c>
      <c r="E415" s="12">
        <v>99.71140410434154</v>
      </c>
      <c r="F415" s="12">
        <v>2.3271123174612589E-2</v>
      </c>
      <c r="G415" s="12">
        <v>99.682509188499921</v>
      </c>
      <c r="H415" s="28">
        <v>99.740299020183159</v>
      </c>
    </row>
    <row r="416" spans="1:8" ht="14.5" thickBot="1">
      <c r="A416" s="285" t="s">
        <v>382</v>
      </c>
      <c r="B416" s="264" t="s">
        <v>2</v>
      </c>
      <c r="C416" s="9" t="s">
        <v>25</v>
      </c>
      <c r="D416" s="9" t="s">
        <v>16</v>
      </c>
      <c r="E416" s="11">
        <v>100</v>
      </c>
      <c r="F416" s="11">
        <v>0</v>
      </c>
      <c r="G416" s="11">
        <v>100</v>
      </c>
      <c r="H416" s="29">
        <v>100</v>
      </c>
    </row>
    <row r="417" spans="1:8" ht="14.5" thickBot="1">
      <c r="A417" s="285" t="s">
        <v>383</v>
      </c>
      <c r="B417" s="264" t="s">
        <v>2</v>
      </c>
      <c r="C417" s="10" t="s">
        <v>26</v>
      </c>
      <c r="D417" s="10" t="s">
        <v>13</v>
      </c>
      <c r="E417" s="12">
        <v>51.573397789783215</v>
      </c>
      <c r="F417" s="12">
        <v>2.1855550251479903</v>
      </c>
      <c r="G417" s="12">
        <v>48.859672799156961</v>
      </c>
      <c r="H417" s="28">
        <v>54.287122780409469</v>
      </c>
    </row>
    <row r="418" spans="1:8" ht="14.5" thickBot="1">
      <c r="A418" s="285" t="s">
        <v>384</v>
      </c>
      <c r="B418" s="264" t="s">
        <v>2</v>
      </c>
      <c r="C418" s="9" t="s">
        <v>27</v>
      </c>
      <c r="D418" s="9" t="s">
        <v>13</v>
      </c>
      <c r="E418" s="11">
        <v>100</v>
      </c>
      <c r="F418" s="11">
        <v>0</v>
      </c>
      <c r="G418" s="11">
        <v>100</v>
      </c>
      <c r="H418" s="29">
        <v>100</v>
      </c>
    </row>
    <row r="419" spans="1:8" ht="14.5" thickBot="1">
      <c r="A419" s="285" t="s">
        <v>290</v>
      </c>
      <c r="B419" s="264" t="s">
        <v>2</v>
      </c>
      <c r="C419" s="10" t="s">
        <v>28</v>
      </c>
      <c r="D419" s="10" t="s">
        <v>29</v>
      </c>
      <c r="E419" s="12">
        <v>54.191935781161931</v>
      </c>
      <c r="F419" s="12">
        <v>3.0577778071108059</v>
      </c>
      <c r="G419" s="12">
        <v>50.39520316383647</v>
      </c>
      <c r="H419" s="28">
        <v>57.988668398487391</v>
      </c>
    </row>
    <row r="420" spans="1:8" ht="14.5" thickBot="1">
      <c r="A420" s="285" t="s">
        <v>291</v>
      </c>
      <c r="B420" s="264" t="s">
        <v>2</v>
      </c>
      <c r="C420" s="9" t="s">
        <v>30</v>
      </c>
      <c r="D420" s="9" t="s">
        <v>29</v>
      </c>
      <c r="E420" s="11">
        <v>131.83879999999999</v>
      </c>
      <c r="F420" s="11">
        <v>1.5247748030446917</v>
      </c>
      <c r="G420" s="11">
        <v>129.94554202182604</v>
      </c>
      <c r="H420" s="29">
        <v>133.73205797817394</v>
      </c>
    </row>
    <row r="421" spans="1:8" ht="14.5" thickBot="1">
      <c r="A421" s="285" t="s">
        <v>292</v>
      </c>
      <c r="B421" s="264" t="s">
        <v>2</v>
      </c>
      <c r="C421" s="36" t="s">
        <v>31</v>
      </c>
      <c r="D421" s="36" t="s">
        <v>32</v>
      </c>
      <c r="E421" s="37">
        <v>1.9516425789224356</v>
      </c>
      <c r="F421" s="37">
        <v>3.5996942913333406E-2</v>
      </c>
      <c r="G421" s="37">
        <v>1.9069464708647377</v>
      </c>
      <c r="H421" s="38">
        <v>1.9963386869801336</v>
      </c>
    </row>
    <row r="422" spans="1:8" ht="14.5" thickBot="1">
      <c r="A422" s="285" t="s">
        <v>293</v>
      </c>
      <c r="B422" s="265" t="s">
        <v>3</v>
      </c>
      <c r="C422" s="15" t="s">
        <v>6</v>
      </c>
      <c r="D422" s="15" t="s">
        <v>7</v>
      </c>
      <c r="E422" s="16">
        <v>104.28744688000006</v>
      </c>
      <c r="F422" s="16">
        <v>32.194788946338406</v>
      </c>
      <c r="G422" s="16">
        <v>64.312336518410973</v>
      </c>
      <c r="H422" s="59">
        <v>144.26255724158915</v>
      </c>
    </row>
    <row r="423" spans="1:8" ht="14.5" thickBot="1">
      <c r="A423" s="285" t="s">
        <v>294</v>
      </c>
      <c r="B423" s="265" t="s">
        <v>87</v>
      </c>
      <c r="C423" s="10" t="s">
        <v>8</v>
      </c>
      <c r="D423" s="10" t="s">
        <v>9</v>
      </c>
      <c r="E423" s="12">
        <v>17.494958376111402</v>
      </c>
      <c r="F423" s="12">
        <v>5.4009040339437027</v>
      </c>
      <c r="G423" s="12">
        <v>10.788850279887768</v>
      </c>
      <c r="H423" s="28">
        <v>24.201066472335036</v>
      </c>
    </row>
    <row r="424" spans="1:8" ht="14.5" thickBot="1">
      <c r="A424" s="285" t="s">
        <v>295</v>
      </c>
      <c r="B424" s="265" t="s">
        <v>88</v>
      </c>
      <c r="C424" s="9" t="s">
        <v>10</v>
      </c>
      <c r="D424" s="9" t="s">
        <v>11</v>
      </c>
      <c r="E424" s="11">
        <v>61.032265165352818</v>
      </c>
      <c r="F424" s="11">
        <v>16.211541642488978</v>
      </c>
      <c r="G424" s="11">
        <v>40.902977553927144</v>
      </c>
      <c r="H424" s="29">
        <v>81.161552776778493</v>
      </c>
    </row>
    <row r="425" spans="1:8" ht="14.5" thickBot="1">
      <c r="A425" s="285" t="s">
        <v>296</v>
      </c>
      <c r="B425" s="265" t="s">
        <v>89</v>
      </c>
      <c r="C425" s="291" t="s">
        <v>12</v>
      </c>
      <c r="D425" s="291" t="s">
        <v>13</v>
      </c>
      <c r="E425" s="292">
        <v>2.5551077290556461</v>
      </c>
      <c r="F425" s="292">
        <v>0.18388461565022954</v>
      </c>
      <c r="G425" s="292">
        <v>2.3267848219954854</v>
      </c>
      <c r="H425" s="293">
        <v>2.7834306361158068</v>
      </c>
    </row>
    <row r="426" spans="1:8" ht="14.5" thickBot="1">
      <c r="A426" s="285" t="s">
        <v>297</v>
      </c>
      <c r="B426" s="265" t="s">
        <v>90</v>
      </c>
      <c r="C426" s="9" t="s">
        <v>14</v>
      </c>
      <c r="D426" s="9" t="s">
        <v>13</v>
      </c>
      <c r="E426" s="11">
        <v>5.538125</v>
      </c>
      <c r="F426" s="11">
        <v>0.67295117300588758</v>
      </c>
      <c r="G426" s="11">
        <v>4.7025457559891226</v>
      </c>
      <c r="H426" s="29">
        <v>6.3737042440108773</v>
      </c>
    </row>
    <row r="427" spans="1:8" ht="14.5" thickBot="1">
      <c r="A427" s="285" t="s">
        <v>298</v>
      </c>
      <c r="B427" s="265" t="s">
        <v>91</v>
      </c>
      <c r="C427" s="10" t="s">
        <v>15</v>
      </c>
      <c r="D427" s="10" t="s">
        <v>16</v>
      </c>
      <c r="E427" s="12">
        <v>789.34453125000005</v>
      </c>
      <c r="F427" s="12">
        <v>246.40642092005208</v>
      </c>
      <c r="G427" s="12">
        <v>483.39054948912462</v>
      </c>
      <c r="H427" s="28">
        <v>1095.2985130108755</v>
      </c>
    </row>
    <row r="428" spans="1:8" ht="14.5" thickBot="1">
      <c r="A428" s="285" t="s">
        <v>299</v>
      </c>
      <c r="B428" s="265" t="s">
        <v>92</v>
      </c>
      <c r="C428" s="297" t="s">
        <v>17</v>
      </c>
      <c r="D428" s="297" t="s">
        <v>16</v>
      </c>
      <c r="E428" s="298">
        <v>854.48405274092545</v>
      </c>
      <c r="F428" s="298">
        <v>106.94909482637486</v>
      </c>
      <c r="G428" s="298">
        <v>721.68921206399557</v>
      </c>
      <c r="H428" s="299">
        <v>987.27889341785533</v>
      </c>
    </row>
    <row r="429" spans="1:8" ht="14.5" thickBot="1">
      <c r="A429" s="285" t="s">
        <v>300</v>
      </c>
      <c r="B429" s="265" t="s">
        <v>93</v>
      </c>
      <c r="C429" s="10" t="s">
        <v>18</v>
      </c>
      <c r="D429" s="10" t="s">
        <v>16</v>
      </c>
      <c r="E429" s="12">
        <v>904.49531249999995</v>
      </c>
      <c r="F429" s="12">
        <v>6.3049926835213546</v>
      </c>
      <c r="G429" s="12">
        <v>896.66663007649106</v>
      </c>
      <c r="H429" s="28">
        <v>912.32399492350885</v>
      </c>
    </row>
    <row r="430" spans="1:8" ht="14.5" thickBot="1">
      <c r="A430" s="285" t="s">
        <v>301</v>
      </c>
      <c r="B430" s="265" t="s">
        <v>94</v>
      </c>
      <c r="C430" s="9" t="s">
        <v>19</v>
      </c>
      <c r="D430" s="9" t="s">
        <v>16</v>
      </c>
      <c r="E430" s="11">
        <v>65.139521490925446</v>
      </c>
      <c r="F430" s="11">
        <v>139.4941232022806</v>
      </c>
      <c r="G430" s="11">
        <v>-108.06530923800769</v>
      </c>
      <c r="H430" s="29">
        <v>238.34435221985859</v>
      </c>
    </row>
    <row r="431" spans="1:8" ht="14.5" thickBot="1">
      <c r="A431" s="285" t="s">
        <v>302</v>
      </c>
      <c r="B431" s="265" t="s">
        <v>95</v>
      </c>
      <c r="C431" s="10" t="s">
        <v>20</v>
      </c>
      <c r="D431" s="10" t="s">
        <v>16</v>
      </c>
      <c r="E431" s="12">
        <v>115.15078124999999</v>
      </c>
      <c r="F431" s="12">
        <v>240.69446214835671</v>
      </c>
      <c r="G431" s="12">
        <v>-183.7108669453423</v>
      </c>
      <c r="H431" s="28">
        <v>414.01242944534226</v>
      </c>
    </row>
    <row r="432" spans="1:8" ht="14.5" thickBot="1">
      <c r="A432" s="285" t="s">
        <v>303</v>
      </c>
      <c r="B432" s="265" t="s">
        <v>96</v>
      </c>
      <c r="C432" s="9" t="s">
        <v>21</v>
      </c>
      <c r="D432" s="9" t="s">
        <v>16</v>
      </c>
      <c r="E432" s="11">
        <v>2457.11328125</v>
      </c>
      <c r="F432" s="11">
        <v>0</v>
      </c>
      <c r="G432" s="11">
        <v>2457.11328125</v>
      </c>
      <c r="H432" s="29">
        <v>2457.11328125</v>
      </c>
    </row>
    <row r="433" spans="1:8" ht="14.5" thickBot="1">
      <c r="A433" s="285" t="s">
        <v>304</v>
      </c>
      <c r="B433" s="265" t="s">
        <v>97</v>
      </c>
      <c r="C433" s="282" t="s">
        <v>22</v>
      </c>
      <c r="D433" s="282" t="s">
        <v>16</v>
      </c>
      <c r="E433" s="283">
        <v>2556.6269332542779</v>
      </c>
      <c r="F433" s="283">
        <v>0.11536891339079113</v>
      </c>
      <c r="G433" s="283">
        <v>2556.4836838280189</v>
      </c>
      <c r="H433" s="284">
        <v>2556.7701826805369</v>
      </c>
    </row>
    <row r="434" spans="1:8" ht="14.5" thickBot="1">
      <c r="A434" s="285" t="s">
        <v>305</v>
      </c>
      <c r="B434" s="265" t="s">
        <v>98</v>
      </c>
      <c r="C434" s="9" t="s">
        <v>23</v>
      </c>
      <c r="D434" s="9" t="s">
        <v>16</v>
      </c>
      <c r="E434" s="11">
        <v>2557.11328125</v>
      </c>
      <c r="F434" s="11">
        <v>0</v>
      </c>
      <c r="G434" s="11">
        <v>2557.11328125</v>
      </c>
      <c r="H434" s="29">
        <v>2557.11328125</v>
      </c>
    </row>
    <row r="435" spans="1:8" ht="14.5" thickBot="1">
      <c r="A435" s="285" t="s">
        <v>306</v>
      </c>
      <c r="B435" s="265" t="s">
        <v>99</v>
      </c>
      <c r="C435" s="10" t="s">
        <v>24</v>
      </c>
      <c r="D435" s="10" t="s">
        <v>16</v>
      </c>
      <c r="E435" s="12">
        <v>99.513652004277816</v>
      </c>
      <c r="F435" s="12">
        <v>0.11536891339079113</v>
      </c>
      <c r="G435" s="12">
        <v>99.370402578018783</v>
      </c>
      <c r="H435" s="28">
        <v>99.656901430536848</v>
      </c>
    </row>
    <row r="436" spans="1:8" ht="14.5" thickBot="1">
      <c r="A436" s="285" t="s">
        <v>307</v>
      </c>
      <c r="B436" s="265" t="s">
        <v>100</v>
      </c>
      <c r="C436" s="9" t="s">
        <v>25</v>
      </c>
      <c r="D436" s="9" t="s">
        <v>16</v>
      </c>
      <c r="E436" s="11">
        <v>100</v>
      </c>
      <c r="F436" s="11">
        <v>0</v>
      </c>
      <c r="G436" s="11">
        <v>100</v>
      </c>
      <c r="H436" s="29">
        <v>100</v>
      </c>
    </row>
    <row r="437" spans="1:8" ht="14.5" thickBot="1">
      <c r="A437" s="285" t="s">
        <v>308</v>
      </c>
      <c r="B437" s="265" t="s">
        <v>101</v>
      </c>
      <c r="C437" s="10" t="s">
        <v>26</v>
      </c>
      <c r="D437" s="10" t="s">
        <v>13</v>
      </c>
      <c r="E437" s="12">
        <v>28.673470385355035</v>
      </c>
      <c r="F437" s="12">
        <v>5.2407233054483227</v>
      </c>
      <c r="G437" s="12">
        <v>22.166252932895997</v>
      </c>
      <c r="H437" s="28">
        <v>35.180687837814077</v>
      </c>
    </row>
    <row r="438" spans="1:8" ht="14.5" thickBot="1">
      <c r="A438" s="285" t="s">
        <v>309</v>
      </c>
      <c r="B438" s="265" t="s">
        <v>102</v>
      </c>
      <c r="C438" s="9" t="s">
        <v>27</v>
      </c>
      <c r="D438" s="9" t="s">
        <v>13</v>
      </c>
      <c r="E438" s="11">
        <v>96.4</v>
      </c>
      <c r="F438" s="11">
        <v>8.0498447189992426</v>
      </c>
      <c r="G438" s="11">
        <v>86.404797622000004</v>
      </c>
      <c r="H438" s="29">
        <v>106.39520237800001</v>
      </c>
    </row>
    <row r="439" spans="1:8" ht="14.5" thickBot="1">
      <c r="A439" s="285" t="s">
        <v>310</v>
      </c>
      <c r="B439" s="265" t="s">
        <v>103</v>
      </c>
      <c r="C439" s="10" t="s">
        <v>28</v>
      </c>
      <c r="D439" s="10" t="s">
        <v>29</v>
      </c>
      <c r="E439" s="12">
        <v>25.234670730160708</v>
      </c>
      <c r="F439" s="12">
        <v>5.5545401259064855</v>
      </c>
      <c r="G439" s="12">
        <v>18.337798229735753</v>
      </c>
      <c r="H439" s="28">
        <v>32.131543230585663</v>
      </c>
    </row>
    <row r="440" spans="1:8" ht="14.5" thickBot="1">
      <c r="A440" s="285" t="s">
        <v>311</v>
      </c>
      <c r="B440" s="265" t="s">
        <v>104</v>
      </c>
      <c r="C440" s="9" t="s">
        <v>30</v>
      </c>
      <c r="D440" s="9" t="s">
        <v>29</v>
      </c>
      <c r="E440" s="11">
        <v>75.679599999999994</v>
      </c>
      <c r="F440" s="11">
        <v>20.30346618929881</v>
      </c>
      <c r="G440" s="11">
        <v>50.469516995796255</v>
      </c>
      <c r="H440" s="29">
        <v>100.88968300420373</v>
      </c>
    </row>
    <row r="441" spans="1:8" ht="14.5" thickBot="1">
      <c r="A441" s="285" t="s">
        <v>312</v>
      </c>
      <c r="B441" s="265" t="s">
        <v>105</v>
      </c>
      <c r="C441" s="36" t="s">
        <v>31</v>
      </c>
      <c r="D441" s="36" t="s">
        <v>32</v>
      </c>
      <c r="E441" s="37">
        <v>0.67668840628450855</v>
      </c>
      <c r="F441" s="37">
        <v>6.129885469236427E-2</v>
      </c>
      <c r="G441" s="37">
        <v>0.60057582528729825</v>
      </c>
      <c r="H441" s="38">
        <v>0.75280098728171885</v>
      </c>
    </row>
    <row r="442" spans="1:8" ht="14.5" thickBot="1">
      <c r="A442" s="285" t="s">
        <v>313</v>
      </c>
      <c r="B442" s="264" t="s">
        <v>4</v>
      </c>
      <c r="C442" s="15" t="s">
        <v>6</v>
      </c>
      <c r="D442" s="15" t="s">
        <v>7</v>
      </c>
      <c r="E442" s="16">
        <v>21.026386680000041</v>
      </c>
      <c r="F442" s="16">
        <v>0.30000303491766711</v>
      </c>
      <c r="G442" s="16">
        <v>20.653883712217443</v>
      </c>
      <c r="H442" s="59">
        <v>21.398889647782639</v>
      </c>
    </row>
    <row r="443" spans="1:8" ht="14.5" thickBot="1">
      <c r="A443" s="285" t="s">
        <v>314</v>
      </c>
      <c r="B443" s="264" t="s">
        <v>4</v>
      </c>
      <c r="C443" s="10" t="s">
        <v>8</v>
      </c>
      <c r="D443" s="10" t="s">
        <v>9</v>
      </c>
      <c r="E443" s="12">
        <v>7.0087955600000136</v>
      </c>
      <c r="F443" s="12">
        <v>0.1000010116392225</v>
      </c>
      <c r="G443" s="12">
        <v>6.8846279040724809</v>
      </c>
      <c r="H443" s="28">
        <v>7.1329632159275462</v>
      </c>
    </row>
    <row r="444" spans="1:8" ht="14.5" thickBot="1">
      <c r="A444" s="285" t="s">
        <v>315</v>
      </c>
      <c r="B444" s="264" t="s">
        <v>4</v>
      </c>
      <c r="C444" s="9" t="s">
        <v>10</v>
      </c>
      <c r="D444" s="9" t="s">
        <v>11</v>
      </c>
      <c r="E444" s="11">
        <v>142.70101851620879</v>
      </c>
      <c r="F444" s="11">
        <v>2.0284244120789525</v>
      </c>
      <c r="G444" s="11">
        <v>140.18239695083216</v>
      </c>
      <c r="H444" s="29">
        <v>145.21964008158542</v>
      </c>
    </row>
    <row r="445" spans="1:8" ht="14.5" thickBot="1">
      <c r="A445" s="285" t="s">
        <v>316</v>
      </c>
      <c r="B445" s="264" t="s">
        <v>4</v>
      </c>
      <c r="C445" s="291" t="s">
        <v>12</v>
      </c>
      <c r="D445" s="291" t="s">
        <v>13</v>
      </c>
      <c r="E445" s="292">
        <v>2.8717514964335566</v>
      </c>
      <c r="F445" s="292">
        <v>2.8013804269438121E-2</v>
      </c>
      <c r="G445" s="292">
        <v>2.8369677642219466</v>
      </c>
      <c r="H445" s="293">
        <v>2.9065352286451667</v>
      </c>
    </row>
    <row r="446" spans="1:8" ht="14.5" thickBot="1">
      <c r="A446" s="285" t="s">
        <v>317</v>
      </c>
      <c r="B446" s="264" t="s">
        <v>4</v>
      </c>
      <c r="C446" s="9" t="s">
        <v>14</v>
      </c>
      <c r="D446" s="9" t="s">
        <v>13</v>
      </c>
      <c r="E446" s="11">
        <v>6.609375</v>
      </c>
      <c r="F446" s="11">
        <v>1.61206995234388</v>
      </c>
      <c r="G446" s="11">
        <v>4.6077257777311438</v>
      </c>
      <c r="H446" s="29">
        <v>8.6110242222688562</v>
      </c>
    </row>
    <row r="447" spans="1:8" ht="14.5" thickBot="1">
      <c r="A447" s="285" t="s">
        <v>318</v>
      </c>
      <c r="B447" s="264" t="s">
        <v>4</v>
      </c>
      <c r="C447" s="10" t="s">
        <v>15</v>
      </c>
      <c r="D447" s="10" t="s">
        <v>16</v>
      </c>
      <c r="E447" s="12">
        <v>4609.4281250000004</v>
      </c>
      <c r="F447" s="12">
        <v>4.3888657924725765</v>
      </c>
      <c r="G447" s="12">
        <v>4603.9786283529274</v>
      </c>
      <c r="H447" s="28">
        <v>4614.8776216470733</v>
      </c>
    </row>
    <row r="448" spans="1:8" ht="14.5" thickBot="1">
      <c r="A448" s="285" t="s">
        <v>319</v>
      </c>
      <c r="B448" s="264" t="s">
        <v>4</v>
      </c>
      <c r="C448" s="297" t="s">
        <v>17</v>
      </c>
      <c r="D448" s="297" t="s">
        <v>16</v>
      </c>
      <c r="E448" s="298">
        <v>4611.3256318480226</v>
      </c>
      <c r="F448" s="298">
        <v>0.66021207463453813</v>
      </c>
      <c r="G448" s="298">
        <v>4610.5058702838278</v>
      </c>
      <c r="H448" s="299">
        <v>4612.1453934122173</v>
      </c>
    </row>
    <row r="449" spans="1:8" ht="14.5" thickBot="1">
      <c r="A449" s="285" t="s">
        <v>320</v>
      </c>
      <c r="B449" s="264" t="s">
        <v>4</v>
      </c>
      <c r="C449" s="10" t="s">
        <v>18</v>
      </c>
      <c r="D449" s="10" t="s">
        <v>16</v>
      </c>
      <c r="E449" s="12">
        <v>4613.7101562500002</v>
      </c>
      <c r="F449" s="12">
        <v>2.4667549667362523</v>
      </c>
      <c r="G449" s="12">
        <v>4610.6472754156321</v>
      </c>
      <c r="H449" s="28">
        <v>4616.7730370843683</v>
      </c>
    </row>
    <row r="450" spans="1:8" ht="14.5" thickBot="1">
      <c r="A450" s="285" t="s">
        <v>321</v>
      </c>
      <c r="B450" s="264" t="s">
        <v>4</v>
      </c>
      <c r="C450" s="9" t="s">
        <v>19</v>
      </c>
      <c r="D450" s="9" t="s">
        <v>16</v>
      </c>
      <c r="E450" s="11">
        <v>1.8975068480227493</v>
      </c>
      <c r="F450" s="11">
        <v>3.7391989395536154</v>
      </c>
      <c r="G450" s="11">
        <v>-2.745321857011914</v>
      </c>
      <c r="H450" s="29">
        <v>6.5403355530574121</v>
      </c>
    </row>
    <row r="451" spans="1:8" ht="14.5" thickBot="1">
      <c r="A451" s="285" t="s">
        <v>322</v>
      </c>
      <c r="B451" s="264" t="s">
        <v>4</v>
      </c>
      <c r="C451" s="10" t="s">
        <v>20</v>
      </c>
      <c r="D451" s="10" t="s">
        <v>16</v>
      </c>
      <c r="E451" s="12">
        <v>4.2820312500000002</v>
      </c>
      <c r="F451" s="12">
        <v>3.1428062038504598</v>
      </c>
      <c r="G451" s="12">
        <v>0.3797219336254436</v>
      </c>
      <c r="H451" s="28">
        <v>8.1843405663745568</v>
      </c>
    </row>
    <row r="452" spans="1:8" ht="14.5" thickBot="1">
      <c r="A452" s="285" t="s">
        <v>323</v>
      </c>
      <c r="B452" s="264" t="s">
        <v>4</v>
      </c>
      <c r="C452" s="9" t="s">
        <v>21</v>
      </c>
      <c r="D452" s="9" t="s">
        <v>16</v>
      </c>
      <c r="E452" s="11">
        <v>3352.8039062500002</v>
      </c>
      <c r="F452" s="11">
        <v>2.795084971874737E-2</v>
      </c>
      <c r="G452" s="11">
        <v>3352.7692006861876</v>
      </c>
      <c r="H452" s="29">
        <v>3352.8386118138128</v>
      </c>
    </row>
    <row r="453" spans="1:8" ht="14.5" thickBot="1">
      <c r="A453" s="285" t="s">
        <v>324</v>
      </c>
      <c r="B453" s="264" t="s">
        <v>4</v>
      </c>
      <c r="C453" s="282" t="s">
        <v>22</v>
      </c>
      <c r="D453" s="282" t="s">
        <v>16</v>
      </c>
      <c r="E453" s="283">
        <v>3431.561174798012</v>
      </c>
      <c r="F453" s="283">
        <v>0.14415718049307394</v>
      </c>
      <c r="G453" s="283">
        <v>3431.3821800169239</v>
      </c>
      <c r="H453" s="284">
        <v>3431.7401695791</v>
      </c>
    </row>
    <row r="454" spans="1:8" ht="14.5" thickBot="1">
      <c r="A454" s="285" t="s">
        <v>325</v>
      </c>
      <c r="B454" s="264" t="s">
        <v>4</v>
      </c>
      <c r="C454" s="9" t="s">
        <v>23</v>
      </c>
      <c r="D454" s="9" t="s">
        <v>16</v>
      </c>
      <c r="E454" s="11">
        <v>3432.9164062499999</v>
      </c>
      <c r="F454" s="11">
        <v>0.22360679774997896</v>
      </c>
      <c r="G454" s="11">
        <v>3432.6387617394998</v>
      </c>
      <c r="H454" s="29">
        <v>3433.1940507605</v>
      </c>
    </row>
    <row r="455" spans="1:8" ht="14.5" thickBot="1">
      <c r="A455" s="285" t="s">
        <v>326</v>
      </c>
      <c r="B455" s="264" t="s">
        <v>4</v>
      </c>
      <c r="C455" s="10" t="s">
        <v>24</v>
      </c>
      <c r="D455" s="10" t="s">
        <v>16</v>
      </c>
      <c r="E455" s="12">
        <v>78.757268548012149</v>
      </c>
      <c r="F455" s="12">
        <v>0.13923524471132287</v>
      </c>
      <c r="G455" s="12">
        <v>78.584385157385327</v>
      </c>
      <c r="H455" s="28">
        <v>78.930151938638971</v>
      </c>
    </row>
    <row r="456" spans="1:8" ht="14.5" thickBot="1">
      <c r="A456" s="285" t="s">
        <v>327</v>
      </c>
      <c r="B456" s="264" t="s">
        <v>4</v>
      </c>
      <c r="C456" s="9" t="s">
        <v>25</v>
      </c>
      <c r="D456" s="9" t="s">
        <v>16</v>
      </c>
      <c r="E456" s="11">
        <v>80.112499999999997</v>
      </c>
      <c r="F456" s="11">
        <v>0.21830311495716226</v>
      </c>
      <c r="G456" s="11">
        <v>79.841440881481262</v>
      </c>
      <c r="H456" s="29">
        <v>80.383559118518733</v>
      </c>
    </row>
    <row r="457" spans="1:8" ht="14.5" thickBot="1">
      <c r="A457" s="285" t="s">
        <v>328</v>
      </c>
      <c r="B457" s="264" t="s">
        <v>4</v>
      </c>
      <c r="C457" s="10" t="s">
        <v>26</v>
      </c>
      <c r="D457" s="10" t="s">
        <v>13</v>
      </c>
      <c r="E457" s="12">
        <v>55.518235914612553</v>
      </c>
      <c r="F457" s="12">
        <v>1.4793067464356049</v>
      </c>
      <c r="G457" s="12">
        <v>53.681433985394371</v>
      </c>
      <c r="H457" s="28">
        <v>57.355037843830736</v>
      </c>
    </row>
    <row r="458" spans="1:8" ht="14.5" thickBot="1">
      <c r="A458" s="285" t="s">
        <v>329</v>
      </c>
      <c r="B458" s="264" t="s">
        <v>4</v>
      </c>
      <c r="C458" s="9" t="s">
        <v>27</v>
      </c>
      <c r="D458" s="9" t="s">
        <v>13</v>
      </c>
      <c r="E458" s="11">
        <v>100</v>
      </c>
      <c r="F458" s="11">
        <v>0</v>
      </c>
      <c r="G458" s="11">
        <v>100</v>
      </c>
      <c r="H458" s="29">
        <v>100</v>
      </c>
    </row>
    <row r="459" spans="1:8" ht="14.5" thickBot="1">
      <c r="A459" s="285" t="s">
        <v>330</v>
      </c>
      <c r="B459" s="264" t="s">
        <v>4</v>
      </c>
      <c r="C459" s="10" t="s">
        <v>28</v>
      </c>
      <c r="D459" s="10" t="s">
        <v>29</v>
      </c>
      <c r="E459" s="12">
        <v>49.018828437324842</v>
      </c>
      <c r="F459" s="12">
        <v>0.96454946861636792</v>
      </c>
      <c r="G459" s="12">
        <v>47.821182087742649</v>
      </c>
      <c r="H459" s="28">
        <v>50.216474786907035</v>
      </c>
    </row>
    <row r="460" spans="1:8" ht="14.5" thickBot="1">
      <c r="A460" s="285" t="s">
        <v>331</v>
      </c>
      <c r="B460" s="264" t="s">
        <v>4</v>
      </c>
      <c r="C460" s="9" t="s">
        <v>30</v>
      </c>
      <c r="D460" s="9" t="s">
        <v>29</v>
      </c>
      <c r="E460" s="11">
        <v>113.41499999999999</v>
      </c>
      <c r="F460" s="11">
        <v>14.836533506853948</v>
      </c>
      <c r="G460" s="11">
        <v>94.993010487707977</v>
      </c>
      <c r="H460" s="29">
        <v>131.83698951229201</v>
      </c>
    </row>
    <row r="461" spans="1:8" ht="14.5" thickBot="1">
      <c r="A461" s="285" t="s">
        <v>332</v>
      </c>
      <c r="B461" s="264" t="s">
        <v>4</v>
      </c>
      <c r="C461" s="36" t="s">
        <v>31</v>
      </c>
      <c r="D461" s="36" t="s">
        <v>32</v>
      </c>
      <c r="E461" s="37">
        <v>0.28890218853077604</v>
      </c>
      <c r="F461" s="37">
        <v>9.8822695985345908E-3</v>
      </c>
      <c r="G461" s="37">
        <v>0.27663173015060621</v>
      </c>
      <c r="H461" s="38">
        <v>0.30117264691094586</v>
      </c>
    </row>
    <row r="462" spans="1:8" ht="14.5" thickBot="1">
      <c r="A462" s="285" t="s">
        <v>333</v>
      </c>
      <c r="B462" s="265" t="s">
        <v>5</v>
      </c>
      <c r="C462" s="15" t="s">
        <v>6</v>
      </c>
      <c r="D462" s="15" t="s">
        <v>7</v>
      </c>
      <c r="E462" s="16">
        <v>17.907114120000006</v>
      </c>
      <c r="F462" s="16">
        <v>0.34369009477053558</v>
      </c>
      <c r="G462" s="16">
        <v>17.480366502814594</v>
      </c>
      <c r="H462" s="59">
        <v>18.333861737185419</v>
      </c>
    </row>
    <row r="463" spans="1:8" ht="14.5" thickBot="1">
      <c r="A463" s="285" t="s">
        <v>334</v>
      </c>
      <c r="B463" s="265" t="s">
        <v>5</v>
      </c>
      <c r="C463" s="10" t="s">
        <v>8</v>
      </c>
      <c r="D463" s="10" t="s">
        <v>9</v>
      </c>
      <c r="E463" s="12">
        <v>7.235197624242427</v>
      </c>
      <c r="F463" s="12">
        <v>0.13886468475577191</v>
      </c>
      <c r="G463" s="12">
        <v>7.0627743445715536</v>
      </c>
      <c r="H463" s="28">
        <v>7.4076209039133003</v>
      </c>
    </row>
    <row r="464" spans="1:8" ht="14.5" thickBot="1">
      <c r="A464" s="285" t="s">
        <v>335</v>
      </c>
      <c r="B464" s="265" t="s">
        <v>5</v>
      </c>
      <c r="C464" s="9" t="s">
        <v>10</v>
      </c>
      <c r="D464" s="9" t="s">
        <v>11</v>
      </c>
      <c r="E464" s="11">
        <v>138.2530228567455</v>
      </c>
      <c r="F464" s="11">
        <v>2.5920110632711211</v>
      </c>
      <c r="G464" s="11">
        <v>135.03461603676516</v>
      </c>
      <c r="H464" s="29">
        <v>141.47142967672585</v>
      </c>
    </row>
    <row r="465" spans="1:8" ht="14.5" thickBot="1">
      <c r="A465" s="285" t="s">
        <v>336</v>
      </c>
      <c r="B465" s="265" t="s">
        <v>5</v>
      </c>
      <c r="C465" s="291" t="s">
        <v>12</v>
      </c>
      <c r="D465" s="291" t="s">
        <v>13</v>
      </c>
      <c r="E465" s="292">
        <v>2.9125777724252622</v>
      </c>
      <c r="F465" s="292">
        <v>2.7187451017880684E-2</v>
      </c>
      <c r="G465" s="292">
        <v>2.8788200932958365</v>
      </c>
      <c r="H465" s="293">
        <v>2.9463354515546878</v>
      </c>
    </row>
    <row r="466" spans="1:8" ht="14.5" thickBot="1">
      <c r="A466" s="285" t="s">
        <v>337</v>
      </c>
      <c r="B466" s="265" t="s">
        <v>5</v>
      </c>
      <c r="C466" s="9" t="s">
        <v>14</v>
      </c>
      <c r="D466" s="9" t="s">
        <v>13</v>
      </c>
      <c r="E466" s="11">
        <v>6.3243749999999999</v>
      </c>
      <c r="F466" s="11">
        <v>0.7706195508728676</v>
      </c>
      <c r="G466" s="11">
        <v>5.367524447437372</v>
      </c>
      <c r="H466" s="29">
        <v>7.2812255525626277</v>
      </c>
    </row>
    <row r="467" spans="1:8" ht="14.5" thickBot="1">
      <c r="A467" s="285" t="s">
        <v>338</v>
      </c>
      <c r="B467" s="265" t="s">
        <v>5</v>
      </c>
      <c r="C467" s="10" t="s">
        <v>15</v>
      </c>
      <c r="D467" s="10" t="s">
        <v>16</v>
      </c>
      <c r="E467" s="12">
        <v>5758.59765625</v>
      </c>
      <c r="F467" s="12">
        <v>0.72790534508701743</v>
      </c>
      <c r="G467" s="12">
        <v>5757.6938423889696</v>
      </c>
      <c r="H467" s="28">
        <v>5759.5014701110304</v>
      </c>
    </row>
    <row r="468" spans="1:8" ht="14.5" thickBot="1">
      <c r="A468" s="285" t="s">
        <v>339</v>
      </c>
      <c r="B468" s="265" t="s">
        <v>5</v>
      </c>
      <c r="C468" s="297" t="s">
        <v>17</v>
      </c>
      <c r="D468" s="297" t="s">
        <v>16</v>
      </c>
      <c r="E468" s="298">
        <v>5758.8912707188838</v>
      </c>
      <c r="F468" s="298">
        <v>0.42052132822262128</v>
      </c>
      <c r="G468" s="298">
        <v>5758.3691245251903</v>
      </c>
      <c r="H468" s="299">
        <v>5759.4134169125773</v>
      </c>
    </row>
    <row r="469" spans="1:8" ht="14.5" thickBot="1">
      <c r="A469" s="285" t="s">
        <v>340</v>
      </c>
      <c r="B469" s="265" t="s">
        <v>5</v>
      </c>
      <c r="C469" s="10" t="s">
        <v>18</v>
      </c>
      <c r="D469" s="10" t="s">
        <v>16</v>
      </c>
      <c r="E469" s="12">
        <v>5762.0234375</v>
      </c>
      <c r="F469" s="12">
        <v>1.9819917559870881</v>
      </c>
      <c r="G469" s="12">
        <v>5759.5624696920295</v>
      </c>
      <c r="H469" s="28">
        <v>5764.4844053079705</v>
      </c>
    </row>
    <row r="470" spans="1:8" ht="14.5" thickBot="1">
      <c r="A470" s="285" t="s">
        <v>341</v>
      </c>
      <c r="B470" s="265" t="s">
        <v>5</v>
      </c>
      <c r="C470" s="9" t="s">
        <v>19</v>
      </c>
      <c r="D470" s="9" t="s">
        <v>16</v>
      </c>
      <c r="E470" s="11">
        <v>0.29361446888360659</v>
      </c>
      <c r="F470" s="11">
        <v>0.3082211338532459</v>
      </c>
      <c r="G470" s="11">
        <v>-8.9092616480248299E-2</v>
      </c>
      <c r="H470" s="29">
        <v>0.67632155424746143</v>
      </c>
    </row>
    <row r="471" spans="1:8" ht="14.5" thickBot="1">
      <c r="A471" s="285" t="s">
        <v>342</v>
      </c>
      <c r="B471" s="265" t="s">
        <v>5</v>
      </c>
      <c r="C471" s="10" t="s">
        <v>20</v>
      </c>
      <c r="D471" s="10" t="s">
        <v>16</v>
      </c>
      <c r="E471" s="12">
        <v>3.42578125</v>
      </c>
      <c r="F471" s="12">
        <v>1.3872440686328529</v>
      </c>
      <c r="G471" s="12">
        <v>1.703290233379585</v>
      </c>
      <c r="H471" s="28">
        <v>5.148272266620415</v>
      </c>
    </row>
    <row r="472" spans="1:8" ht="14.5" thickBot="1">
      <c r="A472" s="285" t="s">
        <v>343</v>
      </c>
      <c r="B472" s="265" t="s">
        <v>5</v>
      </c>
      <c r="C472" s="9" t="s">
        <v>21</v>
      </c>
      <c r="D472" s="9" t="s">
        <v>16</v>
      </c>
      <c r="E472" s="11">
        <v>3336.20703125</v>
      </c>
      <c r="F472" s="11">
        <v>0</v>
      </c>
      <c r="G472" s="11">
        <v>3336.20703125</v>
      </c>
      <c r="H472" s="29">
        <v>3336.20703125</v>
      </c>
    </row>
    <row r="473" spans="1:8" ht="14.5" thickBot="1">
      <c r="A473" s="285" t="s">
        <v>344</v>
      </c>
      <c r="B473" s="265" t="s">
        <v>5</v>
      </c>
      <c r="C473" s="282" t="s">
        <v>22</v>
      </c>
      <c r="D473" s="282" t="s">
        <v>16</v>
      </c>
      <c r="E473" s="283">
        <v>3434.1548959296324</v>
      </c>
      <c r="F473" s="283">
        <v>0.13848669200558955</v>
      </c>
      <c r="G473" s="283">
        <v>3433.9829419899511</v>
      </c>
      <c r="H473" s="284">
        <v>3434.3268498693137</v>
      </c>
    </row>
    <row r="474" spans="1:8" ht="14.5" thickBot="1">
      <c r="A474" s="285" t="s">
        <v>345</v>
      </c>
      <c r="B474" s="265" t="s">
        <v>5</v>
      </c>
      <c r="C474" s="9" t="s">
        <v>23</v>
      </c>
      <c r="D474" s="9" t="s">
        <v>16</v>
      </c>
      <c r="E474" s="11">
        <v>3436.20703125</v>
      </c>
      <c r="F474" s="11">
        <v>0</v>
      </c>
      <c r="G474" s="11">
        <v>3436.20703125</v>
      </c>
      <c r="H474" s="29">
        <v>3436.20703125</v>
      </c>
    </row>
    <row r="475" spans="1:8" ht="14.5" thickBot="1">
      <c r="A475" s="285" t="s">
        <v>346</v>
      </c>
      <c r="B475" s="265" t="s">
        <v>5</v>
      </c>
      <c r="C475" s="10" t="s">
        <v>24</v>
      </c>
      <c r="D475" s="10" t="s">
        <v>16</v>
      </c>
      <c r="E475" s="12">
        <v>97.947864679632588</v>
      </c>
      <c r="F475" s="12">
        <v>0.13848669200558955</v>
      </c>
      <c r="G475" s="12">
        <v>97.775910739951158</v>
      </c>
      <c r="H475" s="28">
        <v>98.119818619314017</v>
      </c>
    </row>
    <row r="476" spans="1:8" ht="14.5" thickBot="1">
      <c r="A476" s="285" t="s">
        <v>347</v>
      </c>
      <c r="B476" s="265" t="s">
        <v>5</v>
      </c>
      <c r="C476" s="9" t="s">
        <v>25</v>
      </c>
      <c r="D476" s="9" t="s">
        <v>16</v>
      </c>
      <c r="E476" s="11">
        <v>100</v>
      </c>
      <c r="F476" s="11">
        <v>0</v>
      </c>
      <c r="G476" s="11">
        <v>100</v>
      </c>
      <c r="H476" s="29">
        <v>100</v>
      </c>
    </row>
    <row r="477" spans="1:8" ht="14.5" thickBot="1">
      <c r="A477" s="285" t="s">
        <v>348</v>
      </c>
      <c r="B477" s="265" t="s">
        <v>5</v>
      </c>
      <c r="C477" s="10" t="s">
        <v>26</v>
      </c>
      <c r="D477" s="10" t="s">
        <v>13</v>
      </c>
      <c r="E477" s="12">
        <v>47.136619924830924</v>
      </c>
      <c r="F477" s="12">
        <v>1.8743620186867804</v>
      </c>
      <c r="G477" s="12">
        <v>44.809292086792816</v>
      </c>
      <c r="H477" s="28">
        <v>49.463947762869033</v>
      </c>
    </row>
    <row r="478" spans="1:8" ht="14.5" thickBot="1">
      <c r="A478" s="285" t="s">
        <v>349</v>
      </c>
      <c r="B478" s="265" t="s">
        <v>5</v>
      </c>
      <c r="C478" s="9" t="s">
        <v>27</v>
      </c>
      <c r="D478" s="9" t="s">
        <v>13</v>
      </c>
      <c r="E478" s="11">
        <v>100</v>
      </c>
      <c r="F478" s="11">
        <v>0</v>
      </c>
      <c r="G478" s="11">
        <v>100</v>
      </c>
      <c r="H478" s="29">
        <v>100</v>
      </c>
    </row>
    <row r="479" spans="1:8" ht="14.5" thickBot="1">
      <c r="A479" s="285" t="s">
        <v>350</v>
      </c>
      <c r="B479" s="265" t="s">
        <v>5</v>
      </c>
      <c r="C479" s="10" t="s">
        <v>28</v>
      </c>
      <c r="D479" s="10" t="s">
        <v>29</v>
      </c>
      <c r="E479" s="12">
        <v>51.106666983889845</v>
      </c>
      <c r="F479" s="12">
        <v>1.2352524991760996</v>
      </c>
      <c r="G479" s="12">
        <v>49.572898427080922</v>
      </c>
      <c r="H479" s="28">
        <v>52.640435540698768</v>
      </c>
    </row>
    <row r="480" spans="1:8" ht="14.5" thickBot="1">
      <c r="A480" s="285" t="s">
        <v>351</v>
      </c>
      <c r="B480" s="265" t="s">
        <v>5</v>
      </c>
      <c r="C480" s="9" t="s">
        <v>30</v>
      </c>
      <c r="D480" s="9" t="s">
        <v>29</v>
      </c>
      <c r="E480" s="11">
        <v>130.23859999999999</v>
      </c>
      <c r="F480" s="11">
        <v>2.4391389464317057</v>
      </c>
      <c r="G480" s="11">
        <v>127.21000898381484</v>
      </c>
      <c r="H480" s="29">
        <v>133.26719101618514</v>
      </c>
    </row>
    <row r="481" spans="1:8" ht="14.5" thickBot="1">
      <c r="A481" s="285" t="s">
        <v>352</v>
      </c>
      <c r="B481" s="265" t="s">
        <v>5</v>
      </c>
      <c r="C481" s="36" t="s">
        <v>31</v>
      </c>
      <c r="D481" s="36" t="s">
        <v>32</v>
      </c>
      <c r="E481" s="37">
        <v>0.25867772885347889</v>
      </c>
      <c r="F481" s="37">
        <v>9.4764697410430893E-3</v>
      </c>
      <c r="G481" s="37">
        <v>0.24691113754679658</v>
      </c>
      <c r="H481" s="38">
        <v>0.27044432016016118</v>
      </c>
    </row>
    <row r="482" spans="1:8" ht="14.5" thickBot="1">
      <c r="A482" s="285" t="s">
        <v>76</v>
      </c>
      <c r="B482" s="264" t="s">
        <v>2</v>
      </c>
      <c r="C482" s="15" t="s">
        <v>6</v>
      </c>
      <c r="D482" s="15" t="s">
        <v>7</v>
      </c>
      <c r="E482" s="16">
        <v>123.91108118000011</v>
      </c>
      <c r="F482" s="16">
        <v>4.8559232881268821</v>
      </c>
      <c r="G482" s="16">
        <v>117.88165605552325</v>
      </c>
      <c r="H482" s="59">
        <v>129.94050630447697</v>
      </c>
    </row>
    <row r="483" spans="1:8" ht="14.5" thickBot="1">
      <c r="A483" s="285" t="s">
        <v>290</v>
      </c>
      <c r="B483" s="264" t="s">
        <v>2</v>
      </c>
      <c r="C483" s="10" t="s">
        <v>8</v>
      </c>
      <c r="D483" s="10" t="s">
        <v>9</v>
      </c>
      <c r="E483" s="12">
        <v>6.8839489544444508</v>
      </c>
      <c r="F483" s="12">
        <v>0.26977351600704869</v>
      </c>
      <c r="G483" s="12">
        <v>6.5489808919735149</v>
      </c>
      <c r="H483" s="28">
        <v>7.2189170169153867</v>
      </c>
    </row>
    <row r="484" spans="1:8" ht="14.5" thickBot="1">
      <c r="A484" s="285" t="s">
        <v>291</v>
      </c>
      <c r="B484" s="264" t="s">
        <v>2</v>
      </c>
      <c r="C484" s="9" t="s">
        <v>10</v>
      </c>
      <c r="D484" s="9" t="s">
        <v>11</v>
      </c>
      <c r="E484" s="11">
        <v>145.44177386551641</v>
      </c>
      <c r="F484" s="11">
        <v>5.6271802993446904</v>
      </c>
      <c r="G484" s="11">
        <v>138.45470667691637</v>
      </c>
      <c r="H484" s="29">
        <v>152.42884105411645</v>
      </c>
    </row>
    <row r="485" spans="1:8" ht="14.5" thickBot="1">
      <c r="A485" s="285" t="s">
        <v>292</v>
      </c>
      <c r="B485" s="264" t="s">
        <v>2</v>
      </c>
      <c r="C485" s="291" t="s">
        <v>12</v>
      </c>
      <c r="D485" s="291" t="s">
        <v>13</v>
      </c>
      <c r="E485" s="292">
        <v>2.8464731227632867</v>
      </c>
      <c r="F485" s="292">
        <v>3.0940546959341422E-2</v>
      </c>
      <c r="G485" s="292">
        <v>2.8080553595218762</v>
      </c>
      <c r="H485" s="293">
        <v>2.8848908860046971</v>
      </c>
    </row>
    <row r="486" spans="1:8" ht="14.5" thickBot="1">
      <c r="A486" s="285" t="s">
        <v>293</v>
      </c>
      <c r="B486" s="264" t="s">
        <v>2</v>
      </c>
      <c r="C486" s="9" t="s">
        <v>14</v>
      </c>
      <c r="D486" s="9" t="s">
        <v>13</v>
      </c>
      <c r="E486" s="11">
        <v>6.703125</v>
      </c>
      <c r="F486" s="11">
        <v>0.56140518455924493</v>
      </c>
      <c r="G486" s="11">
        <v>6.0060483939775056</v>
      </c>
      <c r="H486" s="29">
        <v>7.4002016060224944</v>
      </c>
    </row>
    <row r="487" spans="1:8" ht="14.5" thickBot="1">
      <c r="A487" s="285" t="s">
        <v>294</v>
      </c>
      <c r="B487" s="264" t="s">
        <v>2</v>
      </c>
      <c r="C487" s="10" t="s">
        <v>15</v>
      </c>
      <c r="D487" s="10" t="s">
        <v>16</v>
      </c>
      <c r="E487" s="12">
        <v>5145.9078124999996</v>
      </c>
      <c r="F487" s="12">
        <v>14.256349347013826</v>
      </c>
      <c r="G487" s="12">
        <v>5128.2062167712575</v>
      </c>
      <c r="H487" s="28">
        <v>5163.6094082287418</v>
      </c>
    </row>
    <row r="488" spans="1:8" ht="14.5" thickBot="1">
      <c r="A488" s="285" t="s">
        <v>295</v>
      </c>
      <c r="B488" s="264" t="s">
        <v>2</v>
      </c>
      <c r="C488" s="297" t="s">
        <v>17</v>
      </c>
      <c r="D488" s="297" t="s">
        <v>16</v>
      </c>
      <c r="E488" s="298">
        <v>5146.2628597005778</v>
      </c>
      <c r="F488" s="298">
        <v>14.249134917429311</v>
      </c>
      <c r="G488" s="298">
        <v>5128.5702218693177</v>
      </c>
      <c r="H488" s="299">
        <v>5163.9554975318379</v>
      </c>
    </row>
    <row r="489" spans="1:8" ht="14.5" thickBot="1">
      <c r="A489" s="285" t="s">
        <v>296</v>
      </c>
      <c r="B489" s="264" t="s">
        <v>2</v>
      </c>
      <c r="C489" s="10" t="s">
        <v>18</v>
      </c>
      <c r="D489" s="10" t="s">
        <v>16</v>
      </c>
      <c r="E489" s="12">
        <v>5150.5718749999996</v>
      </c>
      <c r="F489" s="12">
        <v>13.831458317790549</v>
      </c>
      <c r="G489" s="12">
        <v>5133.3978511653668</v>
      </c>
      <c r="H489" s="28">
        <v>5167.7458988346325</v>
      </c>
    </row>
    <row r="490" spans="1:8" ht="14.5" thickBot="1">
      <c r="A490" s="285" t="s">
        <v>297</v>
      </c>
      <c r="B490" s="264" t="s">
        <v>2</v>
      </c>
      <c r="C490" s="9" t="s">
        <v>19</v>
      </c>
      <c r="D490" s="9" t="s">
        <v>16</v>
      </c>
      <c r="E490" s="11">
        <v>0.35504720057779193</v>
      </c>
      <c r="F490" s="11">
        <v>0.26299917781949228</v>
      </c>
      <c r="G490" s="11">
        <v>2.8490589945402267E-2</v>
      </c>
      <c r="H490" s="29">
        <v>0.68160381121018165</v>
      </c>
    </row>
    <row r="491" spans="1:8" ht="14.5" thickBot="1">
      <c r="A491" s="285" t="s">
        <v>298</v>
      </c>
      <c r="B491" s="264" t="s">
        <v>2</v>
      </c>
      <c r="C491" s="10" t="s">
        <v>20</v>
      </c>
      <c r="D491" s="10" t="s">
        <v>16</v>
      </c>
      <c r="E491" s="12">
        <v>4.6640625</v>
      </c>
      <c r="F491" s="12">
        <v>1.0851397980664317</v>
      </c>
      <c r="G491" s="12">
        <v>3.3166834798187965</v>
      </c>
      <c r="H491" s="28">
        <v>6.0114415201812035</v>
      </c>
    </row>
    <row r="492" spans="1:8" ht="14.5" thickBot="1">
      <c r="A492" s="285" t="s">
        <v>299</v>
      </c>
      <c r="B492" s="264" t="s">
        <v>2</v>
      </c>
      <c r="C492" s="9" t="s">
        <v>21</v>
      </c>
      <c r="D492" s="9" t="s">
        <v>16</v>
      </c>
      <c r="E492" s="11">
        <v>6434.98046875</v>
      </c>
      <c r="F492" s="11">
        <v>0</v>
      </c>
      <c r="G492" s="11">
        <v>6434.98046875</v>
      </c>
      <c r="H492" s="29">
        <v>6434.98046875</v>
      </c>
    </row>
    <row r="493" spans="1:8" ht="14.5" thickBot="1">
      <c r="A493" s="285" t="s">
        <v>300</v>
      </c>
      <c r="B493" s="264" t="s">
        <v>2</v>
      </c>
      <c r="C493" s="282" t="s">
        <v>22</v>
      </c>
      <c r="D493" s="282" t="s">
        <v>16</v>
      </c>
      <c r="E493" s="283">
        <v>6454.9306757505001</v>
      </c>
      <c r="F493" s="283">
        <v>8.6016275841605538E-3</v>
      </c>
      <c r="G493" s="283">
        <v>6454.9199954192036</v>
      </c>
      <c r="H493" s="284">
        <v>6454.9413560817966</v>
      </c>
    </row>
    <row r="494" spans="1:8" ht="14.5" thickBot="1">
      <c r="A494" s="285" t="s">
        <v>301</v>
      </c>
      <c r="B494" s="264" t="s">
        <v>2</v>
      </c>
      <c r="C494" s="9" t="s">
        <v>23</v>
      </c>
      <c r="D494" s="9" t="s">
        <v>16</v>
      </c>
      <c r="E494" s="11">
        <v>6454.98046875</v>
      </c>
      <c r="F494" s="11">
        <v>0</v>
      </c>
      <c r="G494" s="11">
        <v>6454.98046875</v>
      </c>
      <c r="H494" s="29">
        <v>6454.98046875</v>
      </c>
    </row>
    <row r="495" spans="1:8" ht="14.5" thickBot="1">
      <c r="A495" s="285" t="s">
        <v>302</v>
      </c>
      <c r="B495" s="264" t="s">
        <v>2</v>
      </c>
      <c r="C495" s="10" t="s">
        <v>24</v>
      </c>
      <c r="D495" s="10" t="s">
        <v>16</v>
      </c>
      <c r="E495" s="12">
        <v>19.950207000499724</v>
      </c>
      <c r="F495" s="12">
        <v>8.6016275841605538E-3</v>
      </c>
      <c r="G495" s="12">
        <v>19.939526669203275</v>
      </c>
      <c r="H495" s="28">
        <v>19.960887331796172</v>
      </c>
    </row>
    <row r="496" spans="1:8" ht="14.5" thickBot="1">
      <c r="A496" s="285" t="s">
        <v>303</v>
      </c>
      <c r="B496" s="264" t="s">
        <v>2</v>
      </c>
      <c r="C496" s="9" t="s">
        <v>25</v>
      </c>
      <c r="D496" s="9" t="s">
        <v>16</v>
      </c>
      <c r="E496" s="11">
        <v>20</v>
      </c>
      <c r="F496" s="11">
        <v>0</v>
      </c>
      <c r="G496" s="11">
        <v>20</v>
      </c>
      <c r="H496" s="29">
        <v>20</v>
      </c>
    </row>
    <row r="497" spans="1:8" ht="14.5" thickBot="1">
      <c r="A497" s="285" t="s">
        <v>304</v>
      </c>
      <c r="B497" s="264" t="s">
        <v>2</v>
      </c>
      <c r="C497" s="10" t="s">
        <v>26</v>
      </c>
      <c r="D497" s="10" t="s">
        <v>13</v>
      </c>
      <c r="E497" s="12">
        <v>35.074609635717046</v>
      </c>
      <c r="F497" s="12">
        <v>2.4933584117070766</v>
      </c>
      <c r="G497" s="12">
        <v>31.978696261502403</v>
      </c>
      <c r="H497" s="28">
        <v>38.170523009931692</v>
      </c>
    </row>
    <row r="498" spans="1:8" ht="14.5" thickBot="1">
      <c r="A498" s="285" t="s">
        <v>305</v>
      </c>
      <c r="B498" s="264" t="s">
        <v>2</v>
      </c>
      <c r="C498" s="9" t="s">
        <v>27</v>
      </c>
      <c r="D498" s="9" t="s">
        <v>13</v>
      </c>
      <c r="E498" s="11">
        <v>94.4</v>
      </c>
      <c r="F498" s="11">
        <v>11.414902540100814</v>
      </c>
      <c r="G498" s="11">
        <v>80.22652647396184</v>
      </c>
      <c r="H498" s="29">
        <v>108.57347352603817</v>
      </c>
    </row>
    <row r="499" spans="1:8" ht="14.5" thickBot="1">
      <c r="A499" s="285" t="s">
        <v>306</v>
      </c>
      <c r="B499" s="264" t="s">
        <v>2</v>
      </c>
      <c r="C499" s="10" t="s">
        <v>28</v>
      </c>
      <c r="D499" s="10" t="s">
        <v>29</v>
      </c>
      <c r="E499" s="12">
        <v>15.758359482642643</v>
      </c>
      <c r="F499" s="12">
        <v>0.956333820808421</v>
      </c>
      <c r="G499" s="12">
        <v>14.570914207164769</v>
      </c>
      <c r="H499" s="28">
        <v>16.945804758120516</v>
      </c>
    </row>
    <row r="500" spans="1:8" ht="14.5" thickBot="1">
      <c r="A500" s="285" t="s">
        <v>307</v>
      </c>
      <c r="B500" s="264" t="s">
        <v>2</v>
      </c>
      <c r="C500" s="9" t="s">
        <v>30</v>
      </c>
      <c r="D500" s="9" t="s">
        <v>29</v>
      </c>
      <c r="E500" s="11">
        <v>40.721199999999996</v>
      </c>
      <c r="F500" s="11">
        <v>8.1278749498254452</v>
      </c>
      <c r="G500" s="11">
        <v>30.629110293618474</v>
      </c>
      <c r="H500" s="29">
        <v>50.813289706381518</v>
      </c>
    </row>
    <row r="501" spans="1:8" ht="14.5" thickBot="1">
      <c r="A501" s="285" t="s">
        <v>308</v>
      </c>
      <c r="B501" s="264" t="s">
        <v>2</v>
      </c>
      <c r="C501" s="36" t="s">
        <v>31</v>
      </c>
      <c r="D501" s="36" t="s">
        <v>32</v>
      </c>
      <c r="E501" s="37">
        <v>0.5422357731580324</v>
      </c>
      <c r="F501" s="37">
        <v>2.1155908952272366E-2</v>
      </c>
      <c r="G501" s="37">
        <v>0.51596724266459049</v>
      </c>
      <c r="H501" s="38">
        <v>0.56850430365147431</v>
      </c>
    </row>
    <row r="502" spans="1:8" ht="14.5" thickBot="1">
      <c r="A502" s="285" t="s">
        <v>309</v>
      </c>
      <c r="B502" s="265" t="s">
        <v>3</v>
      </c>
      <c r="C502" s="15" t="s">
        <v>6</v>
      </c>
      <c r="D502" s="15" t="s">
        <v>7</v>
      </c>
      <c r="E502" s="16">
        <v>41.366358859999949</v>
      </c>
      <c r="F502" s="16">
        <v>1.3931144861645819</v>
      </c>
      <c r="G502" s="16">
        <v>39.636578757276482</v>
      </c>
      <c r="H502" s="59">
        <v>43.096138962723415</v>
      </c>
    </row>
    <row r="503" spans="1:8" ht="14.5" thickBot="1">
      <c r="A503" s="285" t="s">
        <v>310</v>
      </c>
      <c r="B503" s="265" t="s">
        <v>87</v>
      </c>
      <c r="C503" s="10" t="s">
        <v>8</v>
      </c>
      <c r="D503" s="10" t="s">
        <v>9</v>
      </c>
      <c r="E503" s="12">
        <v>6.939499892635455</v>
      </c>
      <c r="F503" s="12">
        <v>0.23370482908313739</v>
      </c>
      <c r="G503" s="12">
        <v>6.6493170201772323</v>
      </c>
      <c r="H503" s="28">
        <v>7.2296827650936777</v>
      </c>
    </row>
    <row r="504" spans="1:8" ht="14.5" thickBot="1">
      <c r="A504" s="285" t="s">
        <v>311</v>
      </c>
      <c r="B504" s="265" t="s">
        <v>88</v>
      </c>
      <c r="C504" s="9" t="s">
        <v>10</v>
      </c>
      <c r="D504" s="9" t="s">
        <v>11</v>
      </c>
      <c r="E504" s="11">
        <v>144.2304704670911</v>
      </c>
      <c r="F504" s="11">
        <v>4.7477845924481672</v>
      </c>
      <c r="G504" s="11">
        <v>138.33531726784165</v>
      </c>
      <c r="H504" s="29">
        <v>150.12562366634054</v>
      </c>
    </row>
    <row r="505" spans="1:8" ht="14.5" thickBot="1">
      <c r="A505" s="285" t="s">
        <v>312</v>
      </c>
      <c r="B505" s="265" t="s">
        <v>89</v>
      </c>
      <c r="C505" s="291" t="s">
        <v>12</v>
      </c>
      <c r="D505" s="291" t="s">
        <v>13</v>
      </c>
      <c r="E505" s="292">
        <v>2.8666823308849785</v>
      </c>
      <c r="F505" s="292">
        <v>2.6652520662380143E-2</v>
      </c>
      <c r="G505" s="292">
        <v>2.8335888555194768</v>
      </c>
      <c r="H505" s="293">
        <v>2.8997758062504801</v>
      </c>
    </row>
    <row r="506" spans="1:8" ht="14.5" thickBot="1">
      <c r="A506" s="285" t="s">
        <v>313</v>
      </c>
      <c r="B506" s="265" t="s">
        <v>90</v>
      </c>
      <c r="C506" s="9" t="s">
        <v>14</v>
      </c>
      <c r="D506" s="9" t="s">
        <v>13</v>
      </c>
      <c r="E506" s="11">
        <v>6.2493749999999997</v>
      </c>
      <c r="F506" s="11">
        <v>0.31748677383869073</v>
      </c>
      <c r="G506" s="11">
        <v>5.8551631030467206</v>
      </c>
      <c r="H506" s="29">
        <v>6.6435868969532788</v>
      </c>
    </row>
    <row r="507" spans="1:8" ht="14.5" thickBot="1">
      <c r="A507" s="285" t="s">
        <v>314</v>
      </c>
      <c r="B507" s="265" t="s">
        <v>91</v>
      </c>
      <c r="C507" s="10" t="s">
        <v>15</v>
      </c>
      <c r="D507" s="10" t="s">
        <v>16</v>
      </c>
      <c r="E507" s="12">
        <v>7494.9867187500004</v>
      </c>
      <c r="F507" s="12">
        <v>1.0697371001226919</v>
      </c>
      <c r="G507" s="12">
        <v>7493.6584647053296</v>
      </c>
      <c r="H507" s="28">
        <v>7496.3149727946711</v>
      </c>
    </row>
    <row r="508" spans="1:8" ht="14.5" thickBot="1">
      <c r="A508" s="285" t="s">
        <v>315</v>
      </c>
      <c r="B508" s="265" t="s">
        <v>92</v>
      </c>
      <c r="C508" s="297" t="s">
        <v>17</v>
      </c>
      <c r="D508" s="297" t="s">
        <v>16</v>
      </c>
      <c r="E508" s="298">
        <v>7477.9530169470863</v>
      </c>
      <c r="F508" s="298">
        <v>38.735554775784152</v>
      </c>
      <c r="G508" s="298">
        <v>7429.8564731349716</v>
      </c>
      <c r="H508" s="299">
        <v>7526.0495607592011</v>
      </c>
    </row>
    <row r="509" spans="1:8" ht="14.5" thickBot="1">
      <c r="A509" s="285" t="s">
        <v>316</v>
      </c>
      <c r="B509" s="265" t="s">
        <v>93</v>
      </c>
      <c r="C509" s="10" t="s">
        <v>18</v>
      </c>
      <c r="D509" s="10" t="s">
        <v>16</v>
      </c>
      <c r="E509" s="12">
        <v>7500.0828124999998</v>
      </c>
      <c r="F509" s="12">
        <v>1.0222716701913348</v>
      </c>
      <c r="G509" s="12">
        <v>7498.8134945708298</v>
      </c>
      <c r="H509" s="28">
        <v>7501.3521304291698</v>
      </c>
    </row>
    <row r="510" spans="1:8" ht="14.5" thickBot="1">
      <c r="A510" s="285" t="s">
        <v>317</v>
      </c>
      <c r="B510" s="265" t="s">
        <v>94</v>
      </c>
      <c r="C510" s="9" t="s">
        <v>19</v>
      </c>
      <c r="D510" s="9" t="s">
        <v>16</v>
      </c>
      <c r="E510" s="11">
        <v>0.47598485476864882</v>
      </c>
      <c r="F510" s="11">
        <v>0.47840644845096764</v>
      </c>
      <c r="G510" s="11">
        <v>-0.11803520873912476</v>
      </c>
      <c r="H510" s="29">
        <v>1.0700049182764224</v>
      </c>
    </row>
    <row r="511" spans="1:8" ht="14.5" thickBot="1">
      <c r="A511" s="285" t="s">
        <v>318</v>
      </c>
      <c r="B511" s="265" t="s">
        <v>95</v>
      </c>
      <c r="C511" s="10" t="s">
        <v>20</v>
      </c>
      <c r="D511" s="10" t="s">
        <v>16</v>
      </c>
      <c r="E511" s="12">
        <v>5.0960937499999996</v>
      </c>
      <c r="F511" s="12">
        <v>0.40215977286416432</v>
      </c>
      <c r="G511" s="12">
        <v>4.5967464385443373</v>
      </c>
      <c r="H511" s="28">
        <v>5.595441061455662</v>
      </c>
    </row>
    <row r="512" spans="1:8" ht="14.5" thickBot="1">
      <c r="A512" s="285" t="s">
        <v>319</v>
      </c>
      <c r="B512" s="265" t="s">
        <v>96</v>
      </c>
      <c r="C512" s="9" t="s">
        <v>21</v>
      </c>
      <c r="D512" s="9" t="s">
        <v>16</v>
      </c>
      <c r="E512" s="11">
        <v>3388.16796875</v>
      </c>
      <c r="F512" s="11">
        <v>8.7346405371085539E-3</v>
      </c>
      <c r="G512" s="11">
        <v>3388.1571232613087</v>
      </c>
      <c r="H512" s="29">
        <v>3388.1788142386913</v>
      </c>
    </row>
    <row r="513" spans="1:8" ht="14.5" thickBot="1">
      <c r="A513" s="285" t="s">
        <v>320</v>
      </c>
      <c r="B513" s="265" t="s">
        <v>97</v>
      </c>
      <c r="C513" s="282" t="s">
        <v>22</v>
      </c>
      <c r="D513" s="282" t="s">
        <v>16</v>
      </c>
      <c r="E513" s="283">
        <v>3408.0388306336263</v>
      </c>
      <c r="F513" s="283">
        <v>2.8140469492269709E-2</v>
      </c>
      <c r="G513" s="283">
        <v>3408.0038896257674</v>
      </c>
      <c r="H513" s="284">
        <v>3408.0737716414851</v>
      </c>
    </row>
    <row r="514" spans="1:8" ht="14.5" thickBot="1">
      <c r="A514" s="285" t="s">
        <v>321</v>
      </c>
      <c r="B514" s="265" t="s">
        <v>98</v>
      </c>
      <c r="C514" s="9" t="s">
        <v>23</v>
      </c>
      <c r="D514" s="9" t="s">
        <v>16</v>
      </c>
      <c r="E514" s="11">
        <v>3412.171875</v>
      </c>
      <c r="F514" s="11">
        <v>0</v>
      </c>
      <c r="G514" s="11">
        <v>3412.171875</v>
      </c>
      <c r="H514" s="29">
        <v>3412.171875</v>
      </c>
    </row>
    <row r="515" spans="1:8" ht="14.5" thickBot="1">
      <c r="A515" s="285" t="s">
        <v>322</v>
      </c>
      <c r="B515" s="265" t="s">
        <v>99</v>
      </c>
      <c r="C515" s="10" t="s">
        <v>24</v>
      </c>
      <c r="D515" s="10" t="s">
        <v>16</v>
      </c>
      <c r="E515" s="12">
        <v>19.870861883626457</v>
      </c>
      <c r="F515" s="12">
        <v>2.475431442817394E-2</v>
      </c>
      <c r="G515" s="12">
        <v>19.840125342602967</v>
      </c>
      <c r="H515" s="28">
        <v>19.901598424649947</v>
      </c>
    </row>
    <row r="516" spans="1:8" ht="14.5" thickBot="1">
      <c r="A516" s="285" t="s">
        <v>323</v>
      </c>
      <c r="B516" s="265" t="s">
        <v>100</v>
      </c>
      <c r="C516" s="9" t="s">
        <v>25</v>
      </c>
      <c r="D516" s="9" t="s">
        <v>16</v>
      </c>
      <c r="E516" s="11">
        <v>24.00390625</v>
      </c>
      <c r="F516" s="11">
        <v>8.7346405371085539E-3</v>
      </c>
      <c r="G516" s="11">
        <v>23.993060761308595</v>
      </c>
      <c r="H516" s="29">
        <v>24.014751738691405</v>
      </c>
    </row>
    <row r="517" spans="1:8" ht="14.5" thickBot="1">
      <c r="A517" s="285" t="s">
        <v>324</v>
      </c>
      <c r="B517" s="265" t="s">
        <v>101</v>
      </c>
      <c r="C517" s="10" t="s">
        <v>26</v>
      </c>
      <c r="D517" s="10" t="s">
        <v>13</v>
      </c>
      <c r="E517" s="12">
        <v>34.467608843762264</v>
      </c>
      <c r="F517" s="12">
        <v>2.0319007723016802</v>
      </c>
      <c r="G517" s="12">
        <v>31.944670807052578</v>
      </c>
      <c r="H517" s="28">
        <v>36.990546880471953</v>
      </c>
    </row>
    <row r="518" spans="1:8" ht="14.5" thickBot="1">
      <c r="A518" s="285" t="s">
        <v>325</v>
      </c>
      <c r="B518" s="265" t="s">
        <v>102</v>
      </c>
      <c r="C518" s="9" t="s">
        <v>27</v>
      </c>
      <c r="D518" s="9" t="s">
        <v>13</v>
      </c>
      <c r="E518" s="11">
        <v>94.4</v>
      </c>
      <c r="F518" s="11">
        <v>9.9649385346824886</v>
      </c>
      <c r="G518" s="11">
        <v>82.026894578052847</v>
      </c>
      <c r="H518" s="29">
        <v>106.77310542194716</v>
      </c>
    </row>
    <row r="519" spans="1:8" ht="14.5" thickBot="1">
      <c r="A519" s="285" t="s">
        <v>326</v>
      </c>
      <c r="B519" s="265" t="s">
        <v>103</v>
      </c>
      <c r="C519" s="10" t="s">
        <v>28</v>
      </c>
      <c r="D519" s="10" t="s">
        <v>29</v>
      </c>
      <c r="E519" s="12">
        <v>15.666089073078782</v>
      </c>
      <c r="F519" s="12">
        <v>0.95078839680700578</v>
      </c>
      <c r="G519" s="12">
        <v>14.485529350937751</v>
      </c>
      <c r="H519" s="28">
        <v>16.846648795219814</v>
      </c>
    </row>
    <row r="520" spans="1:8" ht="14.5" thickBot="1">
      <c r="A520" s="285" t="s">
        <v>327</v>
      </c>
      <c r="B520" s="265" t="s">
        <v>104</v>
      </c>
      <c r="C520" s="9" t="s">
        <v>30</v>
      </c>
      <c r="D520" s="9" t="s">
        <v>29</v>
      </c>
      <c r="E520" s="11">
        <v>35.5364</v>
      </c>
      <c r="F520" s="11">
        <v>4.5494716506425235</v>
      </c>
      <c r="G520" s="11">
        <v>29.887484840950954</v>
      </c>
      <c r="H520" s="29">
        <v>41.185315159049047</v>
      </c>
    </row>
    <row r="521" spans="1:8" ht="14.5" thickBot="1">
      <c r="A521" s="285" t="s">
        <v>328</v>
      </c>
      <c r="B521" s="265" t="s">
        <v>105</v>
      </c>
      <c r="C521" s="36" t="s">
        <v>31</v>
      </c>
      <c r="D521" s="36" t="s">
        <v>32</v>
      </c>
      <c r="E521" s="37">
        <v>0.1803761357512384</v>
      </c>
      <c r="F521" s="37">
        <v>5.6376144259197864E-3</v>
      </c>
      <c r="G521" s="37">
        <v>0.17337611288331831</v>
      </c>
      <c r="H521" s="38">
        <v>0.18737615861915849</v>
      </c>
    </row>
    <row r="522" spans="1:8" ht="14.5" thickBot="1">
      <c r="A522" s="285" t="s">
        <v>329</v>
      </c>
      <c r="B522" s="264" t="s">
        <v>4</v>
      </c>
      <c r="C522" s="15" t="s">
        <v>6</v>
      </c>
      <c r="D522" s="15" t="s">
        <v>7</v>
      </c>
      <c r="E522" s="16">
        <v>20.672654580000017</v>
      </c>
      <c r="F522" s="16">
        <v>0.71083622082682218</v>
      </c>
      <c r="G522" s="16">
        <v>19.790034836043009</v>
      </c>
      <c r="H522" s="59">
        <v>21.555274323957025</v>
      </c>
    </row>
    <row r="523" spans="1:8" ht="14.5" thickBot="1">
      <c r="A523" s="285" t="s">
        <v>330</v>
      </c>
      <c r="B523" s="264" t="s">
        <v>4</v>
      </c>
      <c r="C523" s="10" t="s">
        <v>8</v>
      </c>
      <c r="D523" s="10" t="s">
        <v>9</v>
      </c>
      <c r="E523" s="12">
        <v>6.8908848600000052</v>
      </c>
      <c r="F523" s="12">
        <v>0.2369454069422742</v>
      </c>
      <c r="G523" s="12">
        <v>6.5966782786810025</v>
      </c>
      <c r="H523" s="28">
        <v>7.1850914413190079</v>
      </c>
    </row>
    <row r="524" spans="1:8" ht="14.5" thickBot="1">
      <c r="A524" s="285" t="s">
        <v>331</v>
      </c>
      <c r="B524" s="264" t="s">
        <v>4</v>
      </c>
      <c r="C524" s="9" t="s">
        <v>10</v>
      </c>
      <c r="D524" s="9" t="s">
        <v>11</v>
      </c>
      <c r="E524" s="11">
        <v>145.25546774818295</v>
      </c>
      <c r="F524" s="11">
        <v>4.9530079596886001</v>
      </c>
      <c r="G524" s="11">
        <v>139.10549608225907</v>
      </c>
      <c r="H524" s="29">
        <v>151.40543941410684</v>
      </c>
    </row>
    <row r="525" spans="1:8" ht="14.5" thickBot="1">
      <c r="A525" s="285" t="s">
        <v>332</v>
      </c>
      <c r="B525" s="264" t="s">
        <v>4</v>
      </c>
      <c r="C525" s="291" t="s">
        <v>12</v>
      </c>
      <c r="D525" s="291" t="s">
        <v>13</v>
      </c>
      <c r="E525" s="292">
        <v>2.7986204974029483</v>
      </c>
      <c r="F525" s="292">
        <v>5.5271775843198416E-2</v>
      </c>
      <c r="G525" s="292">
        <v>2.7299915232265493</v>
      </c>
      <c r="H525" s="293">
        <v>2.8672494715793473</v>
      </c>
    </row>
    <row r="526" spans="1:8" ht="14.5" thickBot="1">
      <c r="A526" s="285" t="s">
        <v>333</v>
      </c>
      <c r="B526" s="264" t="s">
        <v>4</v>
      </c>
      <c r="C526" s="9" t="s">
        <v>14</v>
      </c>
      <c r="D526" s="9" t="s">
        <v>13</v>
      </c>
      <c r="E526" s="11">
        <v>5.7231249999999996</v>
      </c>
      <c r="F526" s="11">
        <v>0.58249865879673923</v>
      </c>
      <c r="G526" s="11">
        <v>4.9998573864216356</v>
      </c>
      <c r="H526" s="29">
        <v>6.4463926135783636</v>
      </c>
    </row>
    <row r="527" spans="1:8" ht="14.5" thickBot="1">
      <c r="A527" s="285" t="s">
        <v>334</v>
      </c>
      <c r="B527" s="264" t="s">
        <v>4</v>
      </c>
      <c r="C527" s="10" t="s">
        <v>15</v>
      </c>
      <c r="D527" s="10" t="s">
        <v>16</v>
      </c>
      <c r="E527" s="12">
        <v>6794.4984375000004</v>
      </c>
      <c r="F527" s="12">
        <v>0.57550345232049871</v>
      </c>
      <c r="G527" s="12">
        <v>6793.7838555824628</v>
      </c>
      <c r="H527" s="28">
        <v>6795.2130194175379</v>
      </c>
    </row>
    <row r="528" spans="1:8" ht="14.5" thickBot="1">
      <c r="A528" s="285" t="s">
        <v>335</v>
      </c>
      <c r="B528" s="264" t="s">
        <v>4</v>
      </c>
      <c r="C528" s="297" t="s">
        <v>17</v>
      </c>
      <c r="D528" s="297" t="s">
        <v>16</v>
      </c>
      <c r="E528" s="298">
        <v>6794.6620239443209</v>
      </c>
      <c r="F528" s="298">
        <v>0.53187533561843436</v>
      </c>
      <c r="G528" s="298">
        <v>6794.0016134885982</v>
      </c>
      <c r="H528" s="299">
        <v>6795.3224344000437</v>
      </c>
    </row>
    <row r="529" spans="1:8" ht="14.5" thickBot="1">
      <c r="A529" s="285" t="s">
        <v>336</v>
      </c>
      <c r="B529" s="264" t="s">
        <v>4</v>
      </c>
      <c r="C529" s="10" t="s">
        <v>18</v>
      </c>
      <c r="D529" s="10" t="s">
        <v>16</v>
      </c>
      <c r="E529" s="12">
        <v>6798.3843749999996</v>
      </c>
      <c r="F529" s="12">
        <v>1.6716846963829912</v>
      </c>
      <c r="G529" s="12">
        <v>6796.3087042963007</v>
      </c>
      <c r="H529" s="28">
        <v>6800.4600457036986</v>
      </c>
    </row>
    <row r="530" spans="1:8" ht="14.5" thickBot="1">
      <c r="A530" s="285" t="s">
        <v>337</v>
      </c>
      <c r="B530" s="264" t="s">
        <v>4</v>
      </c>
      <c r="C530" s="9" t="s">
        <v>19</v>
      </c>
      <c r="D530" s="9" t="s">
        <v>16</v>
      </c>
      <c r="E530" s="11">
        <v>0.16358644432075381</v>
      </c>
      <c r="F530" s="11">
        <v>4.8677998357382471E-2</v>
      </c>
      <c r="G530" s="11">
        <v>0.10314472626007588</v>
      </c>
      <c r="H530" s="29">
        <v>0.22402816238143175</v>
      </c>
    </row>
    <row r="531" spans="1:8" ht="14.5" thickBot="1">
      <c r="A531" s="285" t="s">
        <v>338</v>
      </c>
      <c r="B531" s="264" t="s">
        <v>4</v>
      </c>
      <c r="C531" s="10" t="s">
        <v>20</v>
      </c>
      <c r="D531" s="10" t="s">
        <v>16</v>
      </c>
      <c r="E531" s="12">
        <v>3.8859374999999998</v>
      </c>
      <c r="F531" s="12">
        <v>1.5247350243669391</v>
      </c>
      <c r="G531" s="12">
        <v>1.9927289135781043</v>
      </c>
      <c r="H531" s="28">
        <v>5.7791460864218953</v>
      </c>
    </row>
    <row r="532" spans="1:8" ht="14.5" thickBot="1">
      <c r="A532" s="285" t="s">
        <v>339</v>
      </c>
      <c r="B532" s="264" t="s">
        <v>4</v>
      </c>
      <c r="C532" s="9" t="s">
        <v>21</v>
      </c>
      <c r="D532" s="9" t="s">
        <v>16</v>
      </c>
      <c r="E532" s="11">
        <v>3388.796875</v>
      </c>
      <c r="F532" s="11">
        <v>0</v>
      </c>
      <c r="G532" s="11">
        <v>3388.796875</v>
      </c>
      <c r="H532" s="29">
        <v>3388.796875</v>
      </c>
    </row>
    <row r="533" spans="1:8" ht="14.5" thickBot="1">
      <c r="A533" s="285" t="s">
        <v>340</v>
      </c>
      <c r="B533" s="264" t="s">
        <v>4</v>
      </c>
      <c r="C533" s="282" t="s">
        <v>22</v>
      </c>
      <c r="D533" s="282" t="s">
        <v>16</v>
      </c>
      <c r="E533" s="283">
        <v>3408.5309567813347</v>
      </c>
      <c r="F533" s="283">
        <v>4.8365931167494651E-2</v>
      </c>
      <c r="G533" s="283">
        <v>3408.4709025458687</v>
      </c>
      <c r="H533" s="284">
        <v>3408.5910110168006</v>
      </c>
    </row>
    <row r="534" spans="1:8" ht="14.5" thickBot="1">
      <c r="A534" s="285" t="s">
        <v>341</v>
      </c>
      <c r="B534" s="264" t="s">
        <v>4</v>
      </c>
      <c r="C534" s="9" t="s">
        <v>23</v>
      </c>
      <c r="D534" s="9" t="s">
        <v>16</v>
      </c>
      <c r="E534" s="11">
        <v>3412.796875</v>
      </c>
      <c r="F534" s="11">
        <v>0</v>
      </c>
      <c r="G534" s="11">
        <v>3412.796875</v>
      </c>
      <c r="H534" s="29">
        <v>3412.796875</v>
      </c>
    </row>
    <row r="535" spans="1:8" ht="14.5" thickBot="1">
      <c r="A535" s="285" t="s">
        <v>342</v>
      </c>
      <c r="B535" s="264" t="s">
        <v>4</v>
      </c>
      <c r="C535" s="10" t="s">
        <v>24</v>
      </c>
      <c r="D535" s="10" t="s">
        <v>16</v>
      </c>
      <c r="E535" s="12">
        <v>19.734081781334588</v>
      </c>
      <c r="F535" s="12">
        <v>4.8365931167494651E-2</v>
      </c>
      <c r="G535" s="12">
        <v>19.674027545868586</v>
      </c>
      <c r="H535" s="28">
        <v>19.794136016800589</v>
      </c>
    </row>
    <row r="536" spans="1:8" ht="14.5" thickBot="1">
      <c r="A536" s="285" t="s">
        <v>343</v>
      </c>
      <c r="B536" s="264" t="s">
        <v>4</v>
      </c>
      <c r="C536" s="9" t="s">
        <v>25</v>
      </c>
      <c r="D536" s="9" t="s">
        <v>16</v>
      </c>
      <c r="E536" s="11">
        <v>24</v>
      </c>
      <c r="F536" s="11">
        <v>0</v>
      </c>
      <c r="G536" s="11">
        <v>24</v>
      </c>
      <c r="H536" s="29">
        <v>24</v>
      </c>
    </row>
    <row r="537" spans="1:8" ht="14.5" thickBot="1">
      <c r="A537" s="285" t="s">
        <v>344</v>
      </c>
      <c r="B537" s="264" t="s">
        <v>4</v>
      </c>
      <c r="C537" s="10" t="s">
        <v>26</v>
      </c>
      <c r="D537" s="10" t="s">
        <v>13</v>
      </c>
      <c r="E537" s="12">
        <v>33.733758445392482</v>
      </c>
      <c r="F537" s="12">
        <v>2.7803864248236385</v>
      </c>
      <c r="G537" s="12">
        <v>30.281452720840434</v>
      </c>
      <c r="H537" s="28">
        <v>37.18606416994453</v>
      </c>
    </row>
    <row r="538" spans="1:8" ht="14.5" thickBot="1">
      <c r="A538" s="285" t="s">
        <v>345</v>
      </c>
      <c r="B538" s="264" t="s">
        <v>4</v>
      </c>
      <c r="C538" s="9" t="s">
        <v>27</v>
      </c>
      <c r="D538" s="9" t="s">
        <v>13</v>
      </c>
      <c r="E538" s="11">
        <v>95.6</v>
      </c>
      <c r="F538" s="11">
        <v>9.8386991009990741</v>
      </c>
      <c r="G538" s="11">
        <v>83.383641537999992</v>
      </c>
      <c r="H538" s="29">
        <v>107.816358462</v>
      </c>
    </row>
    <row r="539" spans="1:8" ht="14.5" thickBot="1">
      <c r="A539" s="285" t="s">
        <v>346</v>
      </c>
      <c r="B539" s="264" t="s">
        <v>4</v>
      </c>
      <c r="C539" s="10" t="s">
        <v>28</v>
      </c>
      <c r="D539" s="10" t="s">
        <v>29</v>
      </c>
      <c r="E539" s="12">
        <v>15.382081245797322</v>
      </c>
      <c r="F539" s="12">
        <v>0.71948464913116572</v>
      </c>
      <c r="G539" s="12">
        <v>14.488723059774529</v>
      </c>
      <c r="H539" s="28">
        <v>16.275439431820114</v>
      </c>
    </row>
    <row r="540" spans="1:8" ht="14.5" thickBot="1">
      <c r="A540" s="285" t="s">
        <v>347</v>
      </c>
      <c r="B540" s="264" t="s">
        <v>4</v>
      </c>
      <c r="C540" s="9" t="s">
        <v>30</v>
      </c>
      <c r="D540" s="9" t="s">
        <v>29</v>
      </c>
      <c r="E540" s="11">
        <v>38.106200000000001</v>
      </c>
      <c r="F540" s="11">
        <v>13.191823441056204</v>
      </c>
      <c r="G540" s="11">
        <v>21.726387763746914</v>
      </c>
      <c r="H540" s="29">
        <v>54.486012236253089</v>
      </c>
    </row>
    <row r="541" spans="1:8" ht="14.5" thickBot="1">
      <c r="A541" s="285" t="s">
        <v>348</v>
      </c>
      <c r="B541" s="264" t="s">
        <v>4</v>
      </c>
      <c r="C541" s="36" t="s">
        <v>31</v>
      </c>
      <c r="D541" s="36" t="s">
        <v>32</v>
      </c>
      <c r="E541" s="37">
        <v>8.8878672201213663E-2</v>
      </c>
      <c r="F541" s="37">
        <v>1.8906235271541657E-3</v>
      </c>
      <c r="G541" s="37">
        <v>8.653115303355656E-2</v>
      </c>
      <c r="H541" s="38">
        <v>9.1226191368870765E-2</v>
      </c>
    </row>
    <row r="542" spans="1:8" ht="14.5" thickBot="1">
      <c r="A542" s="285" t="s">
        <v>349</v>
      </c>
      <c r="B542" s="265" t="s">
        <v>5</v>
      </c>
      <c r="C542" s="15" t="s">
        <v>6</v>
      </c>
      <c r="D542" s="15" t="s">
        <v>7</v>
      </c>
      <c r="E542" s="16">
        <v>18.618729460000033</v>
      </c>
      <c r="F542" s="16">
        <v>0.70694808225793826</v>
      </c>
      <c r="G542" s="16">
        <v>17.740937477723691</v>
      </c>
      <c r="H542" s="59">
        <v>19.496521442276375</v>
      </c>
    </row>
    <row r="543" spans="1:8" ht="14.5" thickBot="1">
      <c r="A543" s="285" t="s">
        <v>350</v>
      </c>
      <c r="B543" s="265" t="s">
        <v>5</v>
      </c>
      <c r="C543" s="10" t="s">
        <v>8</v>
      </c>
      <c r="D543" s="10" t="s">
        <v>9</v>
      </c>
      <c r="E543" s="12">
        <v>7.5227189737373861</v>
      </c>
      <c r="F543" s="12">
        <v>0.28563558879108619</v>
      </c>
      <c r="G543" s="12">
        <v>7.168055546555026</v>
      </c>
      <c r="H543" s="28">
        <v>7.8773824009197462</v>
      </c>
    </row>
    <row r="544" spans="1:8" ht="14.5" thickBot="1">
      <c r="A544" s="285" t="s">
        <v>351</v>
      </c>
      <c r="B544" s="265" t="s">
        <v>5</v>
      </c>
      <c r="C544" s="9" t="s">
        <v>10</v>
      </c>
      <c r="D544" s="9" t="s">
        <v>11</v>
      </c>
      <c r="E544" s="11">
        <v>133.08300893039819</v>
      </c>
      <c r="F544" s="11">
        <v>5.0164380794169121</v>
      </c>
      <c r="G544" s="11">
        <v>126.85427836841151</v>
      </c>
      <c r="H544" s="29">
        <v>139.31173949238487</v>
      </c>
    </row>
    <row r="545" spans="1:8" ht="14.5" thickBot="1">
      <c r="A545" s="285" t="s">
        <v>352</v>
      </c>
      <c r="B545" s="265" t="s">
        <v>5</v>
      </c>
      <c r="C545" s="291" t="s">
        <v>12</v>
      </c>
      <c r="D545" s="291" t="s">
        <v>13</v>
      </c>
      <c r="E545" s="292">
        <v>2.7790029097512656</v>
      </c>
      <c r="F545" s="292">
        <v>4.8501182328170529E-2</v>
      </c>
      <c r="G545" s="292">
        <v>2.7187807377883497</v>
      </c>
      <c r="H545" s="293">
        <v>2.8392250817141815</v>
      </c>
    </row>
    <row r="546" spans="1:8" ht="14.5" thickBot="1">
      <c r="A546" s="285" t="s">
        <v>353</v>
      </c>
      <c r="B546" s="265" t="s">
        <v>5</v>
      </c>
      <c r="C546" s="9" t="s">
        <v>14</v>
      </c>
      <c r="D546" s="9" t="s">
        <v>13</v>
      </c>
      <c r="E546" s="11">
        <v>5.8106249999999999</v>
      </c>
      <c r="F546" s="11">
        <v>0.57284156704755629</v>
      </c>
      <c r="G546" s="11">
        <v>5.0993482495730929</v>
      </c>
      <c r="H546" s="29">
        <v>6.521901750426907</v>
      </c>
    </row>
    <row r="547" spans="1:8" ht="14.5" thickBot="1">
      <c r="A547" s="285" t="s">
        <v>354</v>
      </c>
      <c r="B547" s="265" t="s">
        <v>5</v>
      </c>
      <c r="C547" s="10" t="s">
        <v>15</v>
      </c>
      <c r="D547" s="10" t="s">
        <v>16</v>
      </c>
      <c r="E547" s="12">
        <v>5780.5445312499996</v>
      </c>
      <c r="F547" s="12">
        <v>0.27787416269413884</v>
      </c>
      <c r="G547" s="12">
        <v>5780.1995049061761</v>
      </c>
      <c r="H547" s="28">
        <v>5780.8895575938232</v>
      </c>
    </row>
    <row r="548" spans="1:8" ht="14.5" thickBot="1">
      <c r="A548" s="285" t="s">
        <v>355</v>
      </c>
      <c r="B548" s="265" t="s">
        <v>5</v>
      </c>
      <c r="C548" s="297" t="s">
        <v>17</v>
      </c>
      <c r="D548" s="297" t="s">
        <v>16</v>
      </c>
      <c r="E548" s="298">
        <v>5780.7015688917727</v>
      </c>
      <c r="F548" s="298">
        <v>0.2671382890196301</v>
      </c>
      <c r="G548" s="298">
        <v>5780.3698728957788</v>
      </c>
      <c r="H548" s="299">
        <v>5781.0332648877666</v>
      </c>
    </row>
    <row r="549" spans="1:8" ht="14.5" thickBot="1">
      <c r="A549" s="285" t="s">
        <v>356</v>
      </c>
      <c r="B549" s="265" t="s">
        <v>5</v>
      </c>
      <c r="C549" s="10" t="s">
        <v>18</v>
      </c>
      <c r="D549" s="10" t="s">
        <v>16</v>
      </c>
      <c r="E549" s="12">
        <v>5783.0148437500002</v>
      </c>
      <c r="F549" s="12">
        <v>1.9936296097811383</v>
      </c>
      <c r="G549" s="12">
        <v>5780.5394256379586</v>
      </c>
      <c r="H549" s="28">
        <v>5785.4902618620417</v>
      </c>
    </row>
    <row r="550" spans="1:8" ht="14.5" thickBot="1">
      <c r="A550" s="285" t="s">
        <v>357</v>
      </c>
      <c r="B550" s="265" t="s">
        <v>5</v>
      </c>
      <c r="C550" s="9" t="s">
        <v>19</v>
      </c>
      <c r="D550" s="9" t="s">
        <v>16</v>
      </c>
      <c r="E550" s="11">
        <v>0.15703764177251286</v>
      </c>
      <c r="F550" s="11">
        <v>4.1135426349469068E-2</v>
      </c>
      <c r="G550" s="11">
        <v>0.10596126382725331</v>
      </c>
      <c r="H550" s="29">
        <v>0.20811401971777244</v>
      </c>
    </row>
    <row r="551" spans="1:8" ht="14.5" thickBot="1">
      <c r="A551" s="285" t="s">
        <v>358</v>
      </c>
      <c r="B551" s="265" t="s">
        <v>5</v>
      </c>
      <c r="C551" s="10" t="s">
        <v>20</v>
      </c>
      <c r="D551" s="10" t="s">
        <v>16</v>
      </c>
      <c r="E551" s="12">
        <v>2.4703124999999999</v>
      </c>
      <c r="F551" s="12">
        <v>1.7670603091661781</v>
      </c>
      <c r="G551" s="12">
        <v>0.27621733160985062</v>
      </c>
      <c r="H551" s="28">
        <v>4.6644076683901492</v>
      </c>
    </row>
    <row r="552" spans="1:8" ht="14.5" thickBot="1">
      <c r="A552" s="285" t="s">
        <v>359</v>
      </c>
      <c r="B552" s="265" t="s">
        <v>5</v>
      </c>
      <c r="C552" s="9" t="s">
        <v>21</v>
      </c>
      <c r="D552" s="9" t="s">
        <v>16</v>
      </c>
      <c r="E552" s="11">
        <v>3544.22265625</v>
      </c>
      <c r="F552" s="11">
        <v>0</v>
      </c>
      <c r="G552" s="11">
        <v>3544.22265625</v>
      </c>
      <c r="H552" s="29">
        <v>3544.22265625</v>
      </c>
    </row>
    <row r="553" spans="1:8" ht="14.5" thickBot="1">
      <c r="A553" s="285" t="s">
        <v>360</v>
      </c>
      <c r="B553" s="265" t="s">
        <v>5</v>
      </c>
      <c r="C553" s="282" t="s">
        <v>22</v>
      </c>
      <c r="D553" s="282" t="s">
        <v>16</v>
      </c>
      <c r="E553" s="283">
        <v>3563.9079449851888</v>
      </c>
      <c r="F553" s="283">
        <v>1.2329703441205613E-2</v>
      </c>
      <c r="G553" s="283">
        <v>3563.8926356363186</v>
      </c>
      <c r="H553" s="284">
        <v>3563.923254334059</v>
      </c>
    </row>
    <row r="554" spans="1:8" ht="14.5" thickBot="1">
      <c r="A554" s="285" t="s">
        <v>361</v>
      </c>
      <c r="B554" s="265" t="s">
        <v>5</v>
      </c>
      <c r="C554" s="9" t="s">
        <v>23</v>
      </c>
      <c r="D554" s="9" t="s">
        <v>16</v>
      </c>
      <c r="E554" s="11">
        <v>3570.22265625</v>
      </c>
      <c r="F554" s="11">
        <v>0</v>
      </c>
      <c r="G554" s="11">
        <v>3570.22265625</v>
      </c>
      <c r="H554" s="29">
        <v>3570.22265625</v>
      </c>
    </row>
    <row r="555" spans="1:8" ht="14.5" thickBot="1">
      <c r="A555" s="285" t="s">
        <v>362</v>
      </c>
      <c r="B555" s="265" t="s">
        <v>5</v>
      </c>
      <c r="C555" s="10" t="s">
        <v>24</v>
      </c>
      <c r="D555" s="10" t="s">
        <v>16</v>
      </c>
      <c r="E555" s="12">
        <v>19.685288735188625</v>
      </c>
      <c r="F555" s="12">
        <v>1.2329703441205613E-2</v>
      </c>
      <c r="G555" s="12">
        <v>19.669979386318243</v>
      </c>
      <c r="H555" s="28">
        <v>19.700598084059006</v>
      </c>
    </row>
    <row r="556" spans="1:8" ht="14.5" thickBot="1">
      <c r="A556" s="285" t="s">
        <v>363</v>
      </c>
      <c r="B556" s="265" t="s">
        <v>5</v>
      </c>
      <c r="C556" s="9" t="s">
        <v>25</v>
      </c>
      <c r="D556" s="9" t="s">
        <v>16</v>
      </c>
      <c r="E556" s="11">
        <v>26</v>
      </c>
      <c r="F556" s="11">
        <v>0</v>
      </c>
      <c r="G556" s="11">
        <v>26</v>
      </c>
      <c r="H556" s="29">
        <v>26</v>
      </c>
    </row>
    <row r="557" spans="1:8" ht="14.5" thickBot="1">
      <c r="A557" s="285" t="s">
        <v>364</v>
      </c>
      <c r="B557" s="265" t="s">
        <v>5</v>
      </c>
      <c r="C557" s="10" t="s">
        <v>26</v>
      </c>
      <c r="D557" s="10" t="s">
        <v>13</v>
      </c>
      <c r="E557" s="12">
        <v>33.243146257297553</v>
      </c>
      <c r="F557" s="12">
        <v>0.95975194510167383</v>
      </c>
      <c r="G557" s="12">
        <v>32.051456819943667</v>
      </c>
      <c r="H557" s="28">
        <v>34.43483569465144</v>
      </c>
    </row>
    <row r="558" spans="1:8" ht="14.5" thickBot="1">
      <c r="A558" s="285" t="s">
        <v>365</v>
      </c>
      <c r="B558" s="265" t="s">
        <v>5</v>
      </c>
      <c r="C558" s="9" t="s">
        <v>27</v>
      </c>
      <c r="D558" s="9" t="s">
        <v>13</v>
      </c>
      <c r="E558" s="11">
        <v>90.6</v>
      </c>
      <c r="F558" s="11">
        <v>12.501999840025595</v>
      </c>
      <c r="G558" s="11">
        <v>75.076716894196863</v>
      </c>
      <c r="H558" s="29">
        <v>106.12328310580313</v>
      </c>
    </row>
    <row r="559" spans="1:8" ht="14.5" thickBot="1">
      <c r="A559" s="285" t="s">
        <v>366</v>
      </c>
      <c r="B559" s="265" t="s">
        <v>5</v>
      </c>
      <c r="C559" s="10" t="s">
        <v>28</v>
      </c>
      <c r="D559" s="10" t="s">
        <v>29</v>
      </c>
      <c r="E559" s="12">
        <v>15.802539904891685</v>
      </c>
      <c r="F559" s="12">
        <v>0.28224944950743708</v>
      </c>
      <c r="G559" s="12">
        <v>15.452080924950435</v>
      </c>
      <c r="H559" s="28">
        <v>16.152998884832932</v>
      </c>
    </row>
    <row r="560" spans="1:8" ht="14.5" thickBot="1">
      <c r="A560" s="285" t="s">
        <v>367</v>
      </c>
      <c r="B560" s="265" t="s">
        <v>5</v>
      </c>
      <c r="C560" s="9" t="s">
        <v>30</v>
      </c>
      <c r="D560" s="9" t="s">
        <v>29</v>
      </c>
      <c r="E560" s="11">
        <v>39.474000000000004</v>
      </c>
      <c r="F560" s="11">
        <v>10.163645040043457</v>
      </c>
      <c r="G560" s="11">
        <v>26.854167864154824</v>
      </c>
      <c r="H560" s="29">
        <v>52.093832135845183</v>
      </c>
    </row>
    <row r="561" spans="1:8" ht="14.5" thickBot="1">
      <c r="A561" s="285" t="s">
        <v>368</v>
      </c>
      <c r="B561" s="265" t="s">
        <v>5</v>
      </c>
      <c r="C561" s="36" t="s">
        <v>31</v>
      </c>
      <c r="D561" s="36" t="s">
        <v>32</v>
      </c>
      <c r="E561" s="37">
        <v>8.2346081661322165E-2</v>
      </c>
      <c r="F561" s="37">
        <v>2.2010483511928805E-3</v>
      </c>
      <c r="G561" s="37">
        <v>7.9613119165534901E-2</v>
      </c>
      <c r="H561" s="38">
        <v>8.5079044157109429E-2</v>
      </c>
    </row>
    <row r="562" spans="1:8" ht="14.5" thickBot="1">
      <c r="A562" s="285" t="s">
        <v>79</v>
      </c>
      <c r="B562" s="264" t="s">
        <v>2</v>
      </c>
      <c r="C562" s="15" t="s">
        <v>6</v>
      </c>
      <c r="D562" s="15" t="s">
        <v>7</v>
      </c>
      <c r="E562" s="16">
        <v>33.362792139999875</v>
      </c>
      <c r="F562" s="16">
        <v>11.562260476530328</v>
      </c>
      <c r="G562" s="16">
        <v>19.006349569460617</v>
      </c>
      <c r="H562" s="59">
        <v>47.719234710539133</v>
      </c>
    </row>
    <row r="563" spans="1:8" ht="14.5" thickBot="1">
      <c r="A563" s="285" t="s">
        <v>79</v>
      </c>
      <c r="B563" s="264" t="s">
        <v>2</v>
      </c>
      <c r="C563" s="10" t="s">
        <v>8</v>
      </c>
      <c r="D563" s="10" t="s">
        <v>9</v>
      </c>
      <c r="E563" s="12">
        <v>1.8534884522222153</v>
      </c>
      <c r="F563" s="12">
        <v>0.64234780425168481</v>
      </c>
      <c r="G563" s="12">
        <v>1.055908309414479</v>
      </c>
      <c r="H563" s="28">
        <v>2.6510685950299515</v>
      </c>
    </row>
    <row r="564" spans="1:8" ht="14.5" thickBot="1">
      <c r="A564" s="285" t="s">
        <v>79</v>
      </c>
      <c r="B564" s="264" t="s">
        <v>2</v>
      </c>
      <c r="C564" s="9" t="s">
        <v>10</v>
      </c>
      <c r="D564" s="9" t="s">
        <v>11</v>
      </c>
      <c r="E564" s="11">
        <v>586.00443383084598</v>
      </c>
      <c r="F564" s="11">
        <v>171.20574810397446</v>
      </c>
      <c r="G564" s="11">
        <v>373.42442013974267</v>
      </c>
      <c r="H564" s="29">
        <v>798.5844475219493</v>
      </c>
    </row>
    <row r="565" spans="1:8" ht="14.5" thickBot="1">
      <c r="A565" s="285" t="s">
        <v>79</v>
      </c>
      <c r="B565" s="264" t="s">
        <v>2</v>
      </c>
      <c r="C565" s="291" t="s">
        <v>12</v>
      </c>
      <c r="D565" s="291" t="s">
        <v>13</v>
      </c>
      <c r="E565" s="292">
        <v>4.8313881872705302</v>
      </c>
      <c r="F565" s="292">
        <v>0.38993181342888494</v>
      </c>
      <c r="G565" s="292">
        <v>4.3472238928160687</v>
      </c>
      <c r="H565" s="293">
        <v>5.3155524817249917</v>
      </c>
    </row>
    <row r="566" spans="1:8" ht="14.5" thickBot="1">
      <c r="A566" s="285" t="s">
        <v>79</v>
      </c>
      <c r="B566" s="264" t="s">
        <v>2</v>
      </c>
      <c r="C566" s="9" t="s">
        <v>14</v>
      </c>
      <c r="D566" s="9" t="s">
        <v>13</v>
      </c>
      <c r="E566" s="11">
        <v>13.66375</v>
      </c>
      <c r="F566" s="11">
        <v>1.1488373028577634</v>
      </c>
      <c r="G566" s="11">
        <v>12.237280081349622</v>
      </c>
      <c r="H566" s="29">
        <v>15.090219918650378</v>
      </c>
    </row>
    <row r="567" spans="1:8" ht="14.5" thickBot="1">
      <c r="A567" s="285" t="s">
        <v>79</v>
      </c>
      <c r="B567" s="264" t="s">
        <v>2</v>
      </c>
      <c r="C567" s="10" t="s">
        <v>15</v>
      </c>
      <c r="D567" s="10" t="s">
        <v>16</v>
      </c>
      <c r="E567" s="12">
        <v>2034.22578125</v>
      </c>
      <c r="F567" s="12">
        <v>565.91921809746691</v>
      </c>
      <c r="G567" s="12">
        <v>1331.5442622968101</v>
      </c>
      <c r="H567" s="28">
        <v>2736.9073002031901</v>
      </c>
    </row>
    <row r="568" spans="1:8" ht="14.5" thickBot="1">
      <c r="A568" s="285" t="s">
        <v>79</v>
      </c>
      <c r="B568" s="264" t="s">
        <v>2</v>
      </c>
      <c r="C568" s="297" t="s">
        <v>17</v>
      </c>
      <c r="D568" s="297" t="s">
        <v>16</v>
      </c>
      <c r="E568" s="298">
        <v>2166.0423860066667</v>
      </c>
      <c r="F568" s="298">
        <v>272.29401542136344</v>
      </c>
      <c r="G568" s="298">
        <v>1827.9447101557053</v>
      </c>
      <c r="H568" s="299">
        <v>2504.1400618576281</v>
      </c>
    </row>
    <row r="569" spans="1:8" ht="14.5" thickBot="1">
      <c r="A569" s="285" t="s">
        <v>79</v>
      </c>
      <c r="B569" s="264" t="s">
        <v>2</v>
      </c>
      <c r="C569" s="10" t="s">
        <v>18</v>
      </c>
      <c r="D569" s="10" t="s">
        <v>16</v>
      </c>
      <c r="E569" s="12">
        <v>2291.1007812500002</v>
      </c>
      <c r="F569" s="12">
        <v>2.7131857572095943</v>
      </c>
      <c r="G569" s="12">
        <v>2287.7319161750738</v>
      </c>
      <c r="H569" s="28">
        <v>2294.4696463249265</v>
      </c>
    </row>
    <row r="570" spans="1:8" ht="14.5" thickBot="1">
      <c r="A570" s="285" t="s">
        <v>79</v>
      </c>
      <c r="B570" s="264" t="s">
        <v>2</v>
      </c>
      <c r="C570" s="9" t="s">
        <v>19</v>
      </c>
      <c r="D570" s="9" t="s">
        <v>16</v>
      </c>
      <c r="E570" s="11">
        <v>131.81660475666681</v>
      </c>
      <c r="F570" s="11">
        <v>293.62525780012521</v>
      </c>
      <c r="G570" s="11">
        <v>-232.76730679107473</v>
      </c>
      <c r="H570" s="29">
        <v>496.40051630440837</v>
      </c>
    </row>
    <row r="571" spans="1:8" ht="14.5" thickBot="1">
      <c r="A571" s="285" t="s">
        <v>79</v>
      </c>
      <c r="B571" s="264" t="s">
        <v>2</v>
      </c>
      <c r="C571" s="10" t="s">
        <v>20</v>
      </c>
      <c r="D571" s="10" t="s">
        <v>16</v>
      </c>
      <c r="E571" s="12">
        <v>256.875</v>
      </c>
      <c r="F571" s="12">
        <v>563.23146940954905</v>
      </c>
      <c r="G571" s="12">
        <v>-442.46923817142056</v>
      </c>
      <c r="H571" s="28">
        <v>956.21923817142056</v>
      </c>
    </row>
    <row r="572" spans="1:8" ht="14.5" thickBot="1">
      <c r="A572" s="285" t="s">
        <v>79</v>
      </c>
      <c r="B572" s="264" t="s">
        <v>2</v>
      </c>
      <c r="C572" s="9" t="s">
        <v>21</v>
      </c>
      <c r="D572" s="9" t="s">
        <v>16</v>
      </c>
      <c r="E572" s="11">
        <v>2723.4296875</v>
      </c>
      <c r="F572" s="11">
        <v>0</v>
      </c>
      <c r="G572" s="11">
        <v>2723.4296875</v>
      </c>
      <c r="H572" s="29">
        <v>2723.4296875</v>
      </c>
    </row>
    <row r="573" spans="1:8" ht="14.5" thickBot="1">
      <c r="A573" s="285" t="s">
        <v>79</v>
      </c>
      <c r="B573" s="264" t="s">
        <v>2</v>
      </c>
      <c r="C573" s="282" t="s">
        <v>22</v>
      </c>
      <c r="D573" s="282" t="s">
        <v>16</v>
      </c>
      <c r="E573" s="283">
        <v>2723.4296875</v>
      </c>
      <c r="F573" s="283">
        <v>0</v>
      </c>
      <c r="G573" s="283">
        <v>2723.4296875</v>
      </c>
      <c r="H573" s="284">
        <v>2723.4296875</v>
      </c>
    </row>
    <row r="574" spans="1:8" ht="14.5" thickBot="1">
      <c r="A574" s="285" t="s">
        <v>79</v>
      </c>
      <c r="B574" s="264" t="s">
        <v>2</v>
      </c>
      <c r="C574" s="9" t="s">
        <v>23</v>
      </c>
      <c r="D574" s="9" t="s">
        <v>16</v>
      </c>
      <c r="E574" s="11">
        <v>2723.4296875</v>
      </c>
      <c r="F574" s="11">
        <v>0</v>
      </c>
      <c r="G574" s="11">
        <v>2723.4296875</v>
      </c>
      <c r="H574" s="29">
        <v>2723.4296875</v>
      </c>
    </row>
    <row r="575" spans="1:8" ht="14.5" thickBot="1">
      <c r="A575" s="285" t="s">
        <v>79</v>
      </c>
      <c r="B575" s="264" t="s">
        <v>2</v>
      </c>
      <c r="C575" s="10" t="s">
        <v>24</v>
      </c>
      <c r="D575" s="10" t="s">
        <v>16</v>
      </c>
      <c r="E575" s="12">
        <v>0</v>
      </c>
      <c r="F575" s="12">
        <v>0</v>
      </c>
      <c r="G575" s="12">
        <v>0</v>
      </c>
      <c r="H575" s="28">
        <v>0</v>
      </c>
    </row>
    <row r="576" spans="1:8" ht="14.5" thickBot="1">
      <c r="A576" s="285" t="s">
        <v>79</v>
      </c>
      <c r="B576" s="264" t="s">
        <v>2</v>
      </c>
      <c r="C576" s="9" t="s">
        <v>25</v>
      </c>
      <c r="D576" s="9" t="s">
        <v>16</v>
      </c>
      <c r="E576" s="11">
        <v>0</v>
      </c>
      <c r="F576" s="11">
        <v>0</v>
      </c>
      <c r="G576" s="11">
        <v>0</v>
      </c>
      <c r="H576" s="29">
        <v>0</v>
      </c>
    </row>
    <row r="577" spans="1:8" ht="14.5" thickBot="1">
      <c r="A577" s="285" t="s">
        <v>79</v>
      </c>
      <c r="B577" s="264" t="s">
        <v>2</v>
      </c>
      <c r="C577" s="10" t="s">
        <v>26</v>
      </c>
      <c r="D577" s="10" t="s">
        <v>13</v>
      </c>
      <c r="E577" s="12">
        <v>68.627613325202475</v>
      </c>
      <c r="F577" s="12">
        <v>21.403057714935652</v>
      </c>
      <c r="G577" s="12">
        <v>42.052207110982778</v>
      </c>
      <c r="H577" s="28">
        <v>95.203019539422172</v>
      </c>
    </row>
    <row r="578" spans="1:8" ht="14.5" thickBot="1">
      <c r="A578" s="285" t="s">
        <v>79</v>
      </c>
      <c r="B578" s="264" t="s">
        <v>2</v>
      </c>
      <c r="C578" s="9" t="s">
        <v>27</v>
      </c>
      <c r="D578" s="9" t="s">
        <v>13</v>
      </c>
      <c r="E578" s="11">
        <v>99.2</v>
      </c>
      <c r="F578" s="11">
        <v>1.7888543819998317</v>
      </c>
      <c r="G578" s="11">
        <v>96.978843916000002</v>
      </c>
      <c r="H578" s="29">
        <v>101.421156084</v>
      </c>
    </row>
    <row r="579" spans="1:8" ht="14.5" thickBot="1">
      <c r="A579" s="285" t="s">
        <v>79</v>
      </c>
      <c r="B579" s="264" t="s">
        <v>2</v>
      </c>
      <c r="C579" s="10" t="s">
        <v>28</v>
      </c>
      <c r="D579" s="10" t="s">
        <v>29</v>
      </c>
      <c r="E579" s="12">
        <v>50.425314459339489</v>
      </c>
      <c r="F579" s="12">
        <v>6.7699785404731303</v>
      </c>
      <c r="G579" s="12">
        <v>42.019275837620782</v>
      </c>
      <c r="H579" s="28">
        <v>58.831353081058197</v>
      </c>
    </row>
    <row r="580" spans="1:8" ht="14.5" thickBot="1">
      <c r="A580" s="285" t="s">
        <v>79</v>
      </c>
      <c r="B580" s="264" t="s">
        <v>2</v>
      </c>
      <c r="C580" s="9" t="s">
        <v>30</v>
      </c>
      <c r="D580" s="9" t="s">
        <v>29</v>
      </c>
      <c r="E580" s="11">
        <v>105.57600000000001</v>
      </c>
      <c r="F580" s="11">
        <v>19.187042463600275</v>
      </c>
      <c r="G580" s="11">
        <v>81.752140142637899</v>
      </c>
      <c r="H580" s="29">
        <v>129.39985985736212</v>
      </c>
    </row>
    <row r="581" spans="1:8" ht="14.5" thickBot="1">
      <c r="A581" s="285" t="s">
        <v>79</v>
      </c>
      <c r="B581" s="264" t="s">
        <v>2</v>
      </c>
      <c r="C581" s="36" t="s">
        <v>31</v>
      </c>
      <c r="D581" s="36" t="s">
        <v>32</v>
      </c>
      <c r="E581" s="37">
        <v>0.4553641520674962</v>
      </c>
      <c r="F581" s="37">
        <v>0.10172270390765838</v>
      </c>
      <c r="G581" s="37">
        <v>0.32905873283441345</v>
      </c>
      <c r="H581" s="38">
        <v>0.58166957130057895</v>
      </c>
    </row>
    <row r="582" spans="1:8" ht="14.5" thickBot="1">
      <c r="A582" s="285" t="s">
        <v>79</v>
      </c>
      <c r="B582" s="265" t="s">
        <v>3</v>
      </c>
      <c r="C582" s="15" t="s">
        <v>6</v>
      </c>
      <c r="D582" s="15" t="s">
        <v>7</v>
      </c>
      <c r="E582" s="16">
        <v>9.7895707799999396</v>
      </c>
      <c r="F582" s="16">
        <v>0.46488762410822371</v>
      </c>
      <c r="G582" s="16">
        <v>9.2123365539753959</v>
      </c>
      <c r="H582" s="59">
        <v>10.366805006024483</v>
      </c>
    </row>
    <row r="583" spans="1:8" ht="14.5" thickBot="1">
      <c r="A583" s="285" t="s">
        <v>79</v>
      </c>
      <c r="B583" s="265" t="s">
        <v>87</v>
      </c>
      <c r="C583" s="10" t="s">
        <v>8</v>
      </c>
      <c r="D583" s="10" t="s">
        <v>9</v>
      </c>
      <c r="E583" s="12">
        <v>1.6422698842475993</v>
      </c>
      <c r="F583" s="12">
        <v>7.7988193945348769E-2</v>
      </c>
      <c r="G583" s="12">
        <v>1.5454347515476254</v>
      </c>
      <c r="H583" s="28">
        <v>1.7391050169475732</v>
      </c>
    </row>
    <row r="584" spans="1:8" ht="14.5" thickBot="1">
      <c r="A584" s="285" t="s">
        <v>79</v>
      </c>
      <c r="B584" s="265" t="s">
        <v>88</v>
      </c>
      <c r="C584" s="9" t="s">
        <v>10</v>
      </c>
      <c r="D584" s="9" t="s">
        <v>11</v>
      </c>
      <c r="E584" s="11">
        <v>609.99775861383023</v>
      </c>
      <c r="F584" s="11">
        <v>28.547107394610073</v>
      </c>
      <c r="G584" s="11">
        <v>574.55184311161156</v>
      </c>
      <c r="H584" s="29">
        <v>645.4436741160489</v>
      </c>
    </row>
    <row r="585" spans="1:8" ht="14.5" thickBot="1">
      <c r="A585" s="285" t="s">
        <v>79</v>
      </c>
      <c r="B585" s="265" t="s">
        <v>89</v>
      </c>
      <c r="C585" s="291" t="s">
        <v>12</v>
      </c>
      <c r="D585" s="291" t="s">
        <v>13</v>
      </c>
      <c r="E585" s="292">
        <v>4.7272908535383404</v>
      </c>
      <c r="F585" s="292">
        <v>8.7344301642399064E-2</v>
      </c>
      <c r="G585" s="292">
        <v>4.6188385787484494</v>
      </c>
      <c r="H585" s="293">
        <v>4.8357431283282315</v>
      </c>
    </row>
    <row r="586" spans="1:8" ht="14.5" thickBot="1">
      <c r="A586" s="285" t="s">
        <v>79</v>
      </c>
      <c r="B586" s="265" t="s">
        <v>90</v>
      </c>
      <c r="C586" s="9" t="s">
        <v>14</v>
      </c>
      <c r="D586" s="9" t="s">
        <v>13</v>
      </c>
      <c r="E586" s="11">
        <v>11.261875</v>
      </c>
      <c r="F586" s="11">
        <v>1.3356595105508735</v>
      </c>
      <c r="G586" s="11">
        <v>9.6034346720086674</v>
      </c>
      <c r="H586" s="29">
        <v>12.920315327991332</v>
      </c>
    </row>
    <row r="587" spans="1:8" ht="14.5" thickBot="1">
      <c r="A587" s="285" t="s">
        <v>79</v>
      </c>
      <c r="B587" s="265" t="s">
        <v>91</v>
      </c>
      <c r="C587" s="10" t="s">
        <v>15</v>
      </c>
      <c r="D587" s="10" t="s">
        <v>16</v>
      </c>
      <c r="E587" s="12">
        <v>7523.9867187500004</v>
      </c>
      <c r="F587" s="12">
        <v>0.29882940154956095</v>
      </c>
      <c r="G587" s="12">
        <v>7523.6156730405182</v>
      </c>
      <c r="H587" s="28">
        <v>7524.3577644594825</v>
      </c>
    </row>
    <row r="588" spans="1:8" ht="14.5" thickBot="1">
      <c r="A588" s="285" t="s">
        <v>79</v>
      </c>
      <c r="B588" s="265" t="s">
        <v>92</v>
      </c>
      <c r="C588" s="297" t="s">
        <v>17</v>
      </c>
      <c r="D588" s="297" t="s">
        <v>16</v>
      </c>
      <c r="E588" s="298">
        <v>7524.4740848281044</v>
      </c>
      <c r="F588" s="298">
        <v>0.27715565162116385</v>
      </c>
      <c r="G588" s="298">
        <v>7524.1299506336127</v>
      </c>
      <c r="H588" s="299">
        <v>7524.8182190225962</v>
      </c>
    </row>
    <row r="589" spans="1:8" ht="14.5" thickBot="1">
      <c r="A589" s="285" t="s">
        <v>79</v>
      </c>
      <c r="B589" s="265" t="s">
        <v>93</v>
      </c>
      <c r="C589" s="10" t="s">
        <v>18</v>
      </c>
      <c r="D589" s="10" t="s">
        <v>16</v>
      </c>
      <c r="E589" s="12">
        <v>7528.7882812500002</v>
      </c>
      <c r="F589" s="12">
        <v>0.24815296697708703</v>
      </c>
      <c r="G589" s="12">
        <v>7528.4801586448793</v>
      </c>
      <c r="H589" s="28">
        <v>7529.096403855121</v>
      </c>
    </row>
    <row r="590" spans="1:8" ht="14.5" thickBot="1">
      <c r="A590" s="285" t="s">
        <v>79</v>
      </c>
      <c r="B590" s="265" t="s">
        <v>94</v>
      </c>
      <c r="C590" s="9" t="s">
        <v>19</v>
      </c>
      <c r="D590" s="9" t="s">
        <v>16</v>
      </c>
      <c r="E590" s="11">
        <v>0.48736607810442367</v>
      </c>
      <c r="F590" s="11">
        <v>0.19515781730970996</v>
      </c>
      <c r="G590" s="11">
        <v>0.2450456424001923</v>
      </c>
      <c r="H590" s="29">
        <v>0.72968651380865501</v>
      </c>
    </row>
    <row r="591" spans="1:8" ht="14.5" thickBot="1">
      <c r="A591" s="285" t="s">
        <v>79</v>
      </c>
      <c r="B591" s="265" t="s">
        <v>95</v>
      </c>
      <c r="C591" s="10" t="s">
        <v>20</v>
      </c>
      <c r="D591" s="10" t="s">
        <v>16</v>
      </c>
      <c r="E591" s="12">
        <v>4.8015625000000002</v>
      </c>
      <c r="F591" s="12">
        <v>0.33200137733265694</v>
      </c>
      <c r="G591" s="12">
        <v>4.3893283424413445</v>
      </c>
      <c r="H591" s="28">
        <v>5.2137966575586558</v>
      </c>
    </row>
    <row r="592" spans="1:8" ht="14.5" thickBot="1">
      <c r="A592" s="285" t="s">
        <v>79</v>
      </c>
      <c r="B592" s="265" t="s">
        <v>96</v>
      </c>
      <c r="C592" s="9" t="s">
        <v>21</v>
      </c>
      <c r="D592" s="9" t="s">
        <v>16</v>
      </c>
      <c r="E592" s="11">
        <v>2608.0578125000002</v>
      </c>
      <c r="F592" s="11">
        <v>6.5726706900619938</v>
      </c>
      <c r="G592" s="11">
        <v>2599.8967639326825</v>
      </c>
      <c r="H592" s="29">
        <v>2616.2188610673179</v>
      </c>
    </row>
    <row r="593" spans="1:8" ht="14.5" thickBot="1">
      <c r="A593" s="285" t="s">
        <v>79</v>
      </c>
      <c r="B593" s="265" t="s">
        <v>97</v>
      </c>
      <c r="C593" s="282" t="s">
        <v>22</v>
      </c>
      <c r="D593" s="282" t="s">
        <v>16</v>
      </c>
      <c r="E593" s="283">
        <v>2615.1015874546279</v>
      </c>
      <c r="F593" s="283">
        <v>0.14292829185409744</v>
      </c>
      <c r="G593" s="283">
        <v>2614.9241185403207</v>
      </c>
      <c r="H593" s="284">
        <v>2615.279056368935</v>
      </c>
    </row>
    <row r="594" spans="1:8" ht="14.5" thickBot="1">
      <c r="A594" s="285" t="s">
        <v>79</v>
      </c>
      <c r="B594" s="265" t="s">
        <v>98</v>
      </c>
      <c r="C594" s="9" t="s">
        <v>23</v>
      </c>
      <c r="D594" s="9" t="s">
        <v>16</v>
      </c>
      <c r="E594" s="11">
        <v>2615.2578125</v>
      </c>
      <c r="F594" s="11">
        <v>0</v>
      </c>
      <c r="G594" s="11">
        <v>2615.2578125</v>
      </c>
      <c r="H594" s="29">
        <v>2615.2578125</v>
      </c>
    </row>
    <row r="595" spans="1:8" ht="14.5" thickBot="1">
      <c r="A595" s="285" t="s">
        <v>79</v>
      </c>
      <c r="B595" s="265" t="s">
        <v>99</v>
      </c>
      <c r="C595" s="10" t="s">
        <v>24</v>
      </c>
      <c r="D595" s="10" t="s">
        <v>16</v>
      </c>
      <c r="E595" s="12">
        <v>7.0437749546279518</v>
      </c>
      <c r="F595" s="12">
        <v>6.4300643816487373</v>
      </c>
      <c r="G595" s="12">
        <v>-0.9402044936288565</v>
      </c>
      <c r="H595" s="28">
        <v>15.02775440288476</v>
      </c>
    </row>
    <row r="596" spans="1:8" ht="14.5" thickBot="1">
      <c r="A596" s="285" t="s">
        <v>79</v>
      </c>
      <c r="B596" s="265" t="s">
        <v>100</v>
      </c>
      <c r="C596" s="9" t="s">
        <v>25</v>
      </c>
      <c r="D596" s="9" t="s">
        <v>16</v>
      </c>
      <c r="E596" s="11">
        <v>7.2</v>
      </c>
      <c r="F596" s="11">
        <v>6.5726706900619938</v>
      </c>
      <c r="G596" s="11">
        <v>-0.96104856731767807</v>
      </c>
      <c r="H596" s="29">
        <v>15.361048567317678</v>
      </c>
    </row>
    <row r="597" spans="1:8" ht="14.5" thickBot="1">
      <c r="A597" s="285" t="s">
        <v>79</v>
      </c>
      <c r="B597" s="265" t="s">
        <v>101</v>
      </c>
      <c r="C597" s="10" t="s">
        <v>26</v>
      </c>
      <c r="D597" s="10" t="s">
        <v>13</v>
      </c>
      <c r="E597" s="12">
        <v>65.440856733076401</v>
      </c>
      <c r="F597" s="12">
        <v>3.9414385560754988</v>
      </c>
      <c r="G597" s="12">
        <v>60.546914377213866</v>
      </c>
      <c r="H597" s="28">
        <v>70.334799088938937</v>
      </c>
    </row>
    <row r="598" spans="1:8" ht="14.5" thickBot="1">
      <c r="A598" s="285" t="s">
        <v>79</v>
      </c>
      <c r="B598" s="265" t="s">
        <v>102</v>
      </c>
      <c r="C598" s="9" t="s">
        <v>27</v>
      </c>
      <c r="D598" s="9" t="s">
        <v>13</v>
      </c>
      <c r="E598" s="11">
        <v>98.4</v>
      </c>
      <c r="F598" s="11">
        <v>3.0495901363953815</v>
      </c>
      <c r="G598" s="11">
        <v>94.613433718630304</v>
      </c>
      <c r="H598" s="29">
        <v>102.18656628136971</v>
      </c>
    </row>
    <row r="599" spans="1:8" ht="14.5" thickBot="1">
      <c r="A599" s="285" t="s">
        <v>79</v>
      </c>
      <c r="B599" s="265" t="s">
        <v>103</v>
      </c>
      <c r="C599" s="10" t="s">
        <v>28</v>
      </c>
      <c r="D599" s="10" t="s">
        <v>29</v>
      </c>
      <c r="E599" s="12">
        <v>54.846563961472839</v>
      </c>
      <c r="F599" s="12">
        <v>1.8427790081084394</v>
      </c>
      <c r="G599" s="12">
        <v>52.558451610621951</v>
      </c>
      <c r="H599" s="28">
        <v>57.134676312323727</v>
      </c>
    </row>
    <row r="600" spans="1:8" ht="14.5" thickBot="1">
      <c r="A600" s="285" t="s">
        <v>79</v>
      </c>
      <c r="B600" s="265" t="s">
        <v>104</v>
      </c>
      <c r="C600" s="9" t="s">
        <v>30</v>
      </c>
      <c r="D600" s="9" t="s">
        <v>29</v>
      </c>
      <c r="E600" s="11">
        <v>101.62819999999999</v>
      </c>
      <c r="F600" s="11">
        <v>10.03049832760068</v>
      </c>
      <c r="G600" s="11">
        <v>89.173691343462423</v>
      </c>
      <c r="H600" s="29">
        <v>114.08270865653756</v>
      </c>
    </row>
    <row r="601" spans="1:8" ht="14.5" thickBot="1">
      <c r="A601" s="285" t="s">
        <v>79</v>
      </c>
      <c r="B601" s="265" t="s">
        <v>105</v>
      </c>
      <c r="C601" s="36" t="s">
        <v>31</v>
      </c>
      <c r="D601" s="36" t="s">
        <v>32</v>
      </c>
      <c r="E601" s="37">
        <v>0.15157071988076656</v>
      </c>
      <c r="F601" s="37">
        <v>8.6020949080946527E-3</v>
      </c>
      <c r="G601" s="37">
        <v>0.14088980832501441</v>
      </c>
      <c r="H601" s="38">
        <v>0.16225163143651872</v>
      </c>
    </row>
    <row r="602" spans="1:8" ht="14.5" thickBot="1">
      <c r="A602" s="285" t="s">
        <v>79</v>
      </c>
      <c r="B602" s="264" t="s">
        <v>4</v>
      </c>
      <c r="C602" s="15" t="s">
        <v>6</v>
      </c>
      <c r="D602" s="15" t="s">
        <v>7</v>
      </c>
      <c r="E602" s="16">
        <v>4.8127000599999858</v>
      </c>
      <c r="F602" s="16">
        <v>0.42270864026468702</v>
      </c>
      <c r="G602" s="16">
        <v>4.287837959691049</v>
      </c>
      <c r="H602" s="59">
        <v>5.3375621603089227</v>
      </c>
    </row>
    <row r="603" spans="1:8" ht="14.5" thickBot="1">
      <c r="A603" s="285" t="s">
        <v>79</v>
      </c>
      <c r="B603" s="264" t="s">
        <v>4</v>
      </c>
      <c r="C603" s="10" t="s">
        <v>8</v>
      </c>
      <c r="D603" s="10" t="s">
        <v>9</v>
      </c>
      <c r="E603" s="12">
        <v>1.6042333533333288</v>
      </c>
      <c r="F603" s="12">
        <v>0.14090288008822904</v>
      </c>
      <c r="G603" s="12">
        <v>1.4292793198970166</v>
      </c>
      <c r="H603" s="28">
        <v>1.7791873867696411</v>
      </c>
    </row>
    <row r="604" spans="1:8" ht="14.5" thickBot="1">
      <c r="A604" s="285" t="s">
        <v>79</v>
      </c>
      <c r="B604" s="264" t="s">
        <v>4</v>
      </c>
      <c r="C604" s="9" t="s">
        <v>10</v>
      </c>
      <c r="D604" s="9" t="s">
        <v>11</v>
      </c>
      <c r="E604" s="11">
        <v>627.07587526387147</v>
      </c>
      <c r="F604" s="11">
        <v>53.041415915910946</v>
      </c>
      <c r="G604" s="11">
        <v>561.21625871202457</v>
      </c>
      <c r="H604" s="29">
        <v>692.93549181571836</v>
      </c>
    </row>
    <row r="605" spans="1:8" ht="14.5" thickBot="1">
      <c r="A605" s="285" t="s">
        <v>79</v>
      </c>
      <c r="B605" s="264" t="s">
        <v>4</v>
      </c>
      <c r="C605" s="291" t="s">
        <v>12</v>
      </c>
      <c r="D605" s="291" t="s">
        <v>13</v>
      </c>
      <c r="E605" s="292">
        <v>4.824051288855923</v>
      </c>
      <c r="F605" s="292">
        <v>0.48828138092098505</v>
      </c>
      <c r="G605" s="292">
        <v>4.217769877216309</v>
      </c>
      <c r="H605" s="293">
        <v>5.4303327004955371</v>
      </c>
    </row>
    <row r="606" spans="1:8" ht="14.5" thickBot="1">
      <c r="A606" s="285" t="s">
        <v>79</v>
      </c>
      <c r="B606" s="264" t="s">
        <v>4</v>
      </c>
      <c r="C606" s="9" t="s">
        <v>14</v>
      </c>
      <c r="D606" s="9" t="s">
        <v>13</v>
      </c>
      <c r="E606" s="11">
        <v>10.81875</v>
      </c>
      <c r="F606" s="11">
        <v>1.8243805134380546</v>
      </c>
      <c r="G606" s="11">
        <v>8.5534823976008454</v>
      </c>
      <c r="H606" s="29">
        <v>13.084017602399154</v>
      </c>
    </row>
    <row r="607" spans="1:8" ht="14.5" thickBot="1">
      <c r="A607" s="285" t="s">
        <v>79</v>
      </c>
      <c r="B607" s="264" t="s">
        <v>4</v>
      </c>
      <c r="C607" s="10" t="s">
        <v>15</v>
      </c>
      <c r="D607" s="10" t="s">
        <v>16</v>
      </c>
      <c r="E607" s="12">
        <v>6880.0874999999996</v>
      </c>
      <c r="F607" s="12">
        <v>0.13377409245627495</v>
      </c>
      <c r="G607" s="12">
        <v>6879.9213975255161</v>
      </c>
      <c r="H607" s="28">
        <v>6880.2536024744832</v>
      </c>
    </row>
    <row r="608" spans="1:8" ht="14.5" thickBot="1">
      <c r="A608" s="285" t="s">
        <v>79</v>
      </c>
      <c r="B608" s="264" t="s">
        <v>4</v>
      </c>
      <c r="C608" s="297" t="s">
        <v>17</v>
      </c>
      <c r="D608" s="297" t="s">
        <v>16</v>
      </c>
      <c r="E608" s="298">
        <v>6880.3867534328738</v>
      </c>
      <c r="F608" s="298">
        <v>0.15977775911646364</v>
      </c>
      <c r="G608" s="298">
        <v>6880.1883631416795</v>
      </c>
      <c r="H608" s="299">
        <v>6880.5851437240681</v>
      </c>
    </row>
    <row r="609" spans="1:8" ht="14.5" thickBot="1">
      <c r="A609" s="285" t="s">
        <v>79</v>
      </c>
      <c r="B609" s="264" t="s">
        <v>4</v>
      </c>
      <c r="C609" s="10" t="s">
        <v>18</v>
      </c>
      <c r="D609" s="10" t="s">
        <v>16</v>
      </c>
      <c r="E609" s="12">
        <v>6884.0953124999996</v>
      </c>
      <c r="F609" s="12">
        <v>0.87340552965863527</v>
      </c>
      <c r="G609" s="12">
        <v>6883.0108362980673</v>
      </c>
      <c r="H609" s="28">
        <v>6885.179788701932</v>
      </c>
    </row>
    <row r="610" spans="1:8" ht="14.5" thickBot="1">
      <c r="A610" s="285" t="s">
        <v>79</v>
      </c>
      <c r="B610" s="264" t="s">
        <v>4</v>
      </c>
      <c r="C610" s="9" t="s">
        <v>19</v>
      </c>
      <c r="D610" s="9" t="s">
        <v>16</v>
      </c>
      <c r="E610" s="11">
        <v>0.29925343287395662</v>
      </c>
      <c r="F610" s="11">
        <v>6.3876530943275056E-2</v>
      </c>
      <c r="G610" s="11">
        <v>0.21994024407719351</v>
      </c>
      <c r="H610" s="29">
        <v>0.37856662167071975</v>
      </c>
    </row>
    <row r="611" spans="1:8" ht="14.5" thickBot="1">
      <c r="A611" s="285" t="s">
        <v>79</v>
      </c>
      <c r="B611" s="264" t="s">
        <v>4</v>
      </c>
      <c r="C611" s="10" t="s">
        <v>20</v>
      </c>
      <c r="D611" s="10" t="s">
        <v>16</v>
      </c>
      <c r="E611" s="12">
        <v>4.0078125</v>
      </c>
      <c r="F611" s="12">
        <v>0.9085579783908434</v>
      </c>
      <c r="G611" s="12">
        <v>2.8796887680316638</v>
      </c>
      <c r="H611" s="28">
        <v>5.1359362319683362</v>
      </c>
    </row>
    <row r="612" spans="1:8" ht="14.5" thickBot="1">
      <c r="A612" s="285" t="s">
        <v>79</v>
      </c>
      <c r="B612" s="264" t="s">
        <v>4</v>
      </c>
      <c r="C612" s="9" t="s">
        <v>21</v>
      </c>
      <c r="D612" s="9" t="s">
        <v>16</v>
      </c>
      <c r="E612" s="11">
        <v>2603.2578125</v>
      </c>
      <c r="F612" s="11">
        <v>0</v>
      </c>
      <c r="G612" s="11">
        <v>2603.2578125</v>
      </c>
      <c r="H612" s="29">
        <v>2603.2578125</v>
      </c>
    </row>
    <row r="613" spans="1:8" ht="14.5" thickBot="1">
      <c r="A613" s="285" t="s">
        <v>79</v>
      </c>
      <c r="B613" s="264" t="s">
        <v>4</v>
      </c>
      <c r="C613" s="282" t="s">
        <v>22</v>
      </c>
      <c r="D613" s="282" t="s">
        <v>16</v>
      </c>
      <c r="E613" s="283">
        <v>2614.9968692220546</v>
      </c>
      <c r="F613" s="283">
        <v>1.9504014751451308E-2</v>
      </c>
      <c r="G613" s="283">
        <v>2614.972651789119</v>
      </c>
      <c r="H613" s="284">
        <v>2615.0210866549901</v>
      </c>
    </row>
    <row r="614" spans="1:8" ht="14.5" thickBot="1">
      <c r="A614" s="285" t="s">
        <v>79</v>
      </c>
      <c r="B614" s="264" t="s">
        <v>4</v>
      </c>
      <c r="C614" s="9" t="s">
        <v>23</v>
      </c>
      <c r="D614" s="9" t="s">
        <v>16</v>
      </c>
      <c r="E614" s="11">
        <v>2627.2578125</v>
      </c>
      <c r="F614" s="11">
        <v>0</v>
      </c>
      <c r="G614" s="11">
        <v>2627.2578125</v>
      </c>
      <c r="H614" s="29">
        <v>2627.2578125</v>
      </c>
    </row>
    <row r="615" spans="1:8" ht="14.5" thickBot="1">
      <c r="A615" s="285" t="s">
        <v>79</v>
      </c>
      <c r="B615" s="264" t="s">
        <v>4</v>
      </c>
      <c r="C615" s="10" t="s">
        <v>24</v>
      </c>
      <c r="D615" s="10" t="s">
        <v>16</v>
      </c>
      <c r="E615" s="12">
        <v>11.739056722054556</v>
      </c>
      <c r="F615" s="12">
        <v>1.9504014751451308E-2</v>
      </c>
      <c r="G615" s="12">
        <v>11.71483928911897</v>
      </c>
      <c r="H615" s="28">
        <v>11.763274154990143</v>
      </c>
    </row>
    <row r="616" spans="1:8" ht="14.5" thickBot="1">
      <c r="A616" s="285" t="s">
        <v>79</v>
      </c>
      <c r="B616" s="264" t="s">
        <v>4</v>
      </c>
      <c r="C616" s="9" t="s">
        <v>25</v>
      </c>
      <c r="D616" s="9" t="s">
        <v>16</v>
      </c>
      <c r="E616" s="11">
        <v>24</v>
      </c>
      <c r="F616" s="11">
        <v>0</v>
      </c>
      <c r="G616" s="11">
        <v>24</v>
      </c>
      <c r="H616" s="29">
        <v>24</v>
      </c>
    </row>
    <row r="617" spans="1:8" ht="14.5" thickBot="1">
      <c r="A617" s="285" t="s">
        <v>79</v>
      </c>
      <c r="B617" s="264" t="s">
        <v>4</v>
      </c>
      <c r="C617" s="10" t="s">
        <v>26</v>
      </c>
      <c r="D617" s="10" t="s">
        <v>13</v>
      </c>
      <c r="E617" s="12">
        <v>68.04343284882664</v>
      </c>
      <c r="F617" s="12">
        <v>6.2485659261424855</v>
      </c>
      <c r="G617" s="12">
        <v>60.284813498485477</v>
      </c>
      <c r="H617" s="28">
        <v>75.802052199167804</v>
      </c>
    </row>
    <row r="618" spans="1:8" ht="14.5" thickBot="1">
      <c r="A618" s="285" t="s">
        <v>79</v>
      </c>
      <c r="B618" s="264" t="s">
        <v>4</v>
      </c>
      <c r="C618" s="9" t="s">
        <v>27</v>
      </c>
      <c r="D618" s="9" t="s">
        <v>13</v>
      </c>
      <c r="E618" s="11">
        <v>98</v>
      </c>
      <c r="F618" s="11">
        <v>1.8708286933869707</v>
      </c>
      <c r="G618" s="11">
        <v>95.677059364780291</v>
      </c>
      <c r="H618" s="29">
        <v>100.32294063521971</v>
      </c>
    </row>
    <row r="619" spans="1:8" ht="14.5" thickBot="1">
      <c r="A619" s="285" t="s">
        <v>79</v>
      </c>
      <c r="B619" s="264" t="s">
        <v>4</v>
      </c>
      <c r="C619" s="10" t="s">
        <v>28</v>
      </c>
      <c r="D619" s="10" t="s">
        <v>29</v>
      </c>
      <c r="E619" s="12">
        <v>48.899240723646749</v>
      </c>
      <c r="F619" s="12">
        <v>3.435244443663537</v>
      </c>
      <c r="G619" s="12">
        <v>44.63382137322408</v>
      </c>
      <c r="H619" s="28">
        <v>53.164660074069417</v>
      </c>
    </row>
    <row r="620" spans="1:8" ht="14.5" thickBot="1">
      <c r="A620" s="285" t="s">
        <v>79</v>
      </c>
      <c r="B620" s="264" t="s">
        <v>4</v>
      </c>
      <c r="C620" s="9" t="s">
        <v>30</v>
      </c>
      <c r="D620" s="9" t="s">
        <v>29</v>
      </c>
      <c r="E620" s="11">
        <v>93.458799999999997</v>
      </c>
      <c r="F620" s="11">
        <v>16.74599312372963</v>
      </c>
      <c r="G620" s="11">
        <v>72.665903225578404</v>
      </c>
      <c r="H620" s="29">
        <v>114.25169677442159</v>
      </c>
    </row>
    <row r="621" spans="1:8" ht="14.5" thickBot="1">
      <c r="A621" s="285" t="s">
        <v>79</v>
      </c>
      <c r="B621" s="264" t="s">
        <v>4</v>
      </c>
      <c r="C621" s="36" t="s">
        <v>31</v>
      </c>
      <c r="D621" s="36" t="s">
        <v>32</v>
      </c>
      <c r="E621" s="37">
        <v>6.7394088563135973E-2</v>
      </c>
      <c r="F621" s="37">
        <v>7.9850852945945947E-3</v>
      </c>
      <c r="G621" s="37">
        <v>5.7479295630957897E-2</v>
      </c>
      <c r="H621" s="38">
        <v>7.730888149531405E-2</v>
      </c>
    </row>
    <row r="622" spans="1:8" ht="14.5" thickBot="1">
      <c r="A622" s="285" t="s">
        <v>79</v>
      </c>
      <c r="B622" s="265" t="s">
        <v>5</v>
      </c>
      <c r="C622" s="15" t="s">
        <v>6</v>
      </c>
      <c r="D622" s="15" t="s">
        <v>7</v>
      </c>
      <c r="E622" s="16">
        <v>4.0069722199999998</v>
      </c>
      <c r="F622" s="16">
        <v>0.20333728734742385</v>
      </c>
      <c r="G622" s="16">
        <v>3.754495630826276</v>
      </c>
      <c r="H622" s="59">
        <v>4.2594488091737235</v>
      </c>
    </row>
    <row r="623" spans="1:8" ht="14.5" thickBot="1">
      <c r="A623" s="285" t="s">
        <v>79</v>
      </c>
      <c r="B623" s="265" t="s">
        <v>5</v>
      </c>
      <c r="C623" s="10" t="s">
        <v>8</v>
      </c>
      <c r="D623" s="10" t="s">
        <v>9</v>
      </c>
      <c r="E623" s="12">
        <v>1.6189786747474748</v>
      </c>
      <c r="F623" s="12">
        <v>8.2156479736332874E-2</v>
      </c>
      <c r="G623" s="12">
        <v>1.5169679316469804</v>
      </c>
      <c r="H623" s="28">
        <v>1.7209894178479692</v>
      </c>
    </row>
    <row r="624" spans="1:8" ht="14.5" thickBot="1">
      <c r="A624" s="285" t="s">
        <v>79</v>
      </c>
      <c r="B624" s="265" t="s">
        <v>5</v>
      </c>
      <c r="C624" s="9" t="s">
        <v>10</v>
      </c>
      <c r="D624" s="9" t="s">
        <v>11</v>
      </c>
      <c r="E624" s="11">
        <v>618.94874753386921</v>
      </c>
      <c r="F624" s="11">
        <v>31.459294829501751</v>
      </c>
      <c r="G624" s="11">
        <v>579.88687373798177</v>
      </c>
      <c r="H624" s="29">
        <v>658.01062132975665</v>
      </c>
    </row>
    <row r="625" spans="1:8" ht="14.5" thickBot="1">
      <c r="A625" s="285" t="s">
        <v>79</v>
      </c>
      <c r="B625" s="265" t="s">
        <v>5</v>
      </c>
      <c r="C625" s="291" t="s">
        <v>12</v>
      </c>
      <c r="D625" s="291" t="s">
        <v>13</v>
      </c>
      <c r="E625" s="292">
        <v>4.4871979628558574</v>
      </c>
      <c r="F625" s="292">
        <v>0.3324782977326497</v>
      </c>
      <c r="G625" s="292">
        <v>4.0743716304065636</v>
      </c>
      <c r="H625" s="293">
        <v>4.9000242953051512</v>
      </c>
    </row>
    <row r="626" spans="1:8" ht="14.5" thickBot="1">
      <c r="A626" s="285" t="s">
        <v>79</v>
      </c>
      <c r="B626" s="265" t="s">
        <v>5</v>
      </c>
      <c r="C626" s="9" t="s">
        <v>14</v>
      </c>
      <c r="D626" s="9" t="s">
        <v>13</v>
      </c>
      <c r="E626" s="11">
        <v>9.5525000000000002</v>
      </c>
      <c r="F626" s="11">
        <v>1.0389236279378284</v>
      </c>
      <c r="G626" s="11">
        <v>8.2625059343982556</v>
      </c>
      <c r="H626" s="29">
        <v>10.842494065601745</v>
      </c>
    </row>
    <row r="627" spans="1:8" ht="14.5" thickBot="1">
      <c r="A627" s="285" t="s">
        <v>79</v>
      </c>
      <c r="B627" s="265" t="s">
        <v>5</v>
      </c>
      <c r="C627" s="10" t="s">
        <v>15</v>
      </c>
      <c r="D627" s="10" t="s">
        <v>16</v>
      </c>
      <c r="E627" s="12">
        <v>5804.2250000000004</v>
      </c>
      <c r="F627" s="12">
        <v>0.19399162730603542</v>
      </c>
      <c r="G627" s="12">
        <v>5803.9841275804383</v>
      </c>
      <c r="H627" s="28">
        <v>5804.4658724195624</v>
      </c>
    </row>
    <row r="628" spans="1:8" ht="14.5" thickBot="1">
      <c r="A628" s="285" t="s">
        <v>79</v>
      </c>
      <c r="B628" s="265" t="s">
        <v>5</v>
      </c>
      <c r="C628" s="297" t="s">
        <v>17</v>
      </c>
      <c r="D628" s="297" t="s">
        <v>16</v>
      </c>
      <c r="E628" s="298">
        <v>5804.5293620544753</v>
      </c>
      <c r="F628" s="298">
        <v>0.25896151459651867</v>
      </c>
      <c r="G628" s="298">
        <v>5804.2078188649039</v>
      </c>
      <c r="H628" s="299">
        <v>5804.8509052440468</v>
      </c>
    </row>
    <row r="629" spans="1:8" ht="14.5" thickBot="1">
      <c r="A629" s="285" t="s">
        <v>79</v>
      </c>
      <c r="B629" s="265" t="s">
        <v>5</v>
      </c>
      <c r="C629" s="10" t="s">
        <v>18</v>
      </c>
      <c r="D629" s="10" t="s">
        <v>16</v>
      </c>
      <c r="E629" s="12">
        <v>5807.4343749999998</v>
      </c>
      <c r="F629" s="12">
        <v>2.2078838922684048</v>
      </c>
      <c r="G629" s="12">
        <v>5804.692925058951</v>
      </c>
      <c r="H629" s="28">
        <v>5810.1758249410486</v>
      </c>
    </row>
    <row r="630" spans="1:8" ht="14.5" thickBot="1">
      <c r="A630" s="285" t="s">
        <v>79</v>
      </c>
      <c r="B630" s="265" t="s">
        <v>5</v>
      </c>
      <c r="C630" s="9" t="s">
        <v>19</v>
      </c>
      <c r="D630" s="9" t="s">
        <v>16</v>
      </c>
      <c r="E630" s="11">
        <v>0.30436205447531395</v>
      </c>
      <c r="F630" s="11">
        <v>0.14451123811981689</v>
      </c>
      <c r="G630" s="11">
        <v>0.12492765277886875</v>
      </c>
      <c r="H630" s="29">
        <v>0.48379645617175915</v>
      </c>
    </row>
    <row r="631" spans="1:8" ht="14.5" thickBot="1">
      <c r="A631" s="285" t="s">
        <v>79</v>
      </c>
      <c r="B631" s="265" t="s">
        <v>5</v>
      </c>
      <c r="C631" s="10" t="s">
        <v>20</v>
      </c>
      <c r="D631" s="10" t="s">
        <v>16</v>
      </c>
      <c r="E631" s="12">
        <v>3.2093750000000001</v>
      </c>
      <c r="F631" s="12">
        <v>2.0604156134139537</v>
      </c>
      <c r="G631" s="12">
        <v>0.65103111166922512</v>
      </c>
      <c r="H631" s="28">
        <v>5.7677188883307746</v>
      </c>
    </row>
    <row r="632" spans="1:8" ht="14.5" thickBot="1">
      <c r="A632" s="285" t="s">
        <v>79</v>
      </c>
      <c r="B632" s="265" t="s">
        <v>5</v>
      </c>
      <c r="C632" s="9" t="s">
        <v>21</v>
      </c>
      <c r="D632" s="9" t="s">
        <v>16</v>
      </c>
      <c r="E632" s="11">
        <v>2608.0578125000002</v>
      </c>
      <c r="F632" s="11">
        <v>6.5726706900619938</v>
      </c>
      <c r="G632" s="11">
        <v>2599.8967639326825</v>
      </c>
      <c r="H632" s="29">
        <v>2616.2188610673179</v>
      </c>
    </row>
    <row r="633" spans="1:8" ht="14.5" thickBot="1">
      <c r="A633" s="285" t="s">
        <v>79</v>
      </c>
      <c r="B633" s="265" t="s">
        <v>5</v>
      </c>
      <c r="C633" s="282" t="s">
        <v>22</v>
      </c>
      <c r="D633" s="282" t="s">
        <v>16</v>
      </c>
      <c r="E633" s="283">
        <v>2614.8908952067668</v>
      </c>
      <c r="F633" s="283">
        <v>0.33584708030415011</v>
      </c>
      <c r="G633" s="283">
        <v>2614.473885978281</v>
      </c>
      <c r="H633" s="284">
        <v>2615.3079044352526</v>
      </c>
    </row>
    <row r="634" spans="1:8" ht="14.5" thickBot="1">
      <c r="A634" s="285" t="s">
        <v>79</v>
      </c>
      <c r="B634" s="265" t="s">
        <v>5</v>
      </c>
      <c r="C634" s="9" t="s">
        <v>23</v>
      </c>
      <c r="D634" s="9" t="s">
        <v>16</v>
      </c>
      <c r="E634" s="11">
        <v>2615.2578125</v>
      </c>
      <c r="F634" s="11">
        <v>0</v>
      </c>
      <c r="G634" s="11">
        <v>2615.2578125</v>
      </c>
      <c r="H634" s="29">
        <v>2615.2578125</v>
      </c>
    </row>
    <row r="635" spans="1:8" ht="14.5" thickBot="1">
      <c r="A635" s="285" t="s">
        <v>79</v>
      </c>
      <c r="B635" s="265" t="s">
        <v>5</v>
      </c>
      <c r="C635" s="10" t="s">
        <v>24</v>
      </c>
      <c r="D635" s="10" t="s">
        <v>16</v>
      </c>
      <c r="E635" s="12">
        <v>6.8330827067669819</v>
      </c>
      <c r="F635" s="12">
        <v>6.2377708953241138</v>
      </c>
      <c r="G635" s="12">
        <v>-0.91213284244846271</v>
      </c>
      <c r="H635" s="28">
        <v>14.578298255982427</v>
      </c>
    </row>
    <row r="636" spans="1:8" ht="14.5" thickBot="1">
      <c r="A636" s="285" t="s">
        <v>79</v>
      </c>
      <c r="B636" s="265" t="s">
        <v>5</v>
      </c>
      <c r="C636" s="9" t="s">
        <v>25</v>
      </c>
      <c r="D636" s="9" t="s">
        <v>16</v>
      </c>
      <c r="E636" s="11">
        <v>7.2</v>
      </c>
      <c r="F636" s="11">
        <v>6.5726706900619938</v>
      </c>
      <c r="G636" s="11">
        <v>-0.96104856731767807</v>
      </c>
      <c r="H636" s="29">
        <v>15.361048567317678</v>
      </c>
    </row>
    <row r="637" spans="1:8" ht="14.5" thickBot="1">
      <c r="A637" s="285" t="s">
        <v>79</v>
      </c>
      <c r="B637" s="265" t="s">
        <v>5</v>
      </c>
      <c r="C637" s="10" t="s">
        <v>26</v>
      </c>
      <c r="D637" s="10" t="s">
        <v>13</v>
      </c>
      <c r="E637" s="12">
        <v>64.087282308334949</v>
      </c>
      <c r="F637" s="12">
        <v>2.8496834211491966</v>
      </c>
      <c r="G637" s="12">
        <v>60.548932998267929</v>
      </c>
      <c r="H637" s="28">
        <v>67.625631618401968</v>
      </c>
    </row>
    <row r="638" spans="1:8" ht="14.5" thickBot="1">
      <c r="A638" s="285" t="s">
        <v>79</v>
      </c>
      <c r="B638" s="265" t="s">
        <v>5</v>
      </c>
      <c r="C638" s="9" t="s">
        <v>27</v>
      </c>
      <c r="D638" s="9" t="s">
        <v>13</v>
      </c>
      <c r="E638" s="11">
        <v>96.2</v>
      </c>
      <c r="F638" s="11">
        <v>5.3103672189407014</v>
      </c>
      <c r="G638" s="11">
        <v>89.606308207469624</v>
      </c>
      <c r="H638" s="29">
        <v>102.79369179253038</v>
      </c>
    </row>
    <row r="639" spans="1:8" ht="14.5" thickBot="1">
      <c r="A639" s="285" t="s">
        <v>79</v>
      </c>
      <c r="B639" s="265" t="s">
        <v>5</v>
      </c>
      <c r="C639" s="10" t="s">
        <v>28</v>
      </c>
      <c r="D639" s="10" t="s">
        <v>29</v>
      </c>
      <c r="E639" s="12">
        <v>46.810021524966267</v>
      </c>
      <c r="F639" s="12">
        <v>1.0689957786615956</v>
      </c>
      <c r="G639" s="12">
        <v>45.482687952464921</v>
      </c>
      <c r="H639" s="28">
        <v>48.137355097467612</v>
      </c>
    </row>
    <row r="640" spans="1:8" ht="14.5" thickBot="1">
      <c r="A640" s="285" t="s">
        <v>79</v>
      </c>
      <c r="B640" s="265" t="s">
        <v>5</v>
      </c>
      <c r="C640" s="9" t="s">
        <v>30</v>
      </c>
      <c r="D640" s="9" t="s">
        <v>29</v>
      </c>
      <c r="E640" s="11">
        <v>84.003600000000006</v>
      </c>
      <c r="F640" s="11">
        <v>7.8611141258729988</v>
      </c>
      <c r="G640" s="11">
        <v>74.242737604827809</v>
      </c>
      <c r="H640" s="29">
        <v>93.764462395172202</v>
      </c>
    </row>
    <row r="641" spans="1:8" ht="14.5" thickBot="1">
      <c r="A641" s="285" t="s">
        <v>79</v>
      </c>
      <c r="B641" s="265" t="s">
        <v>5</v>
      </c>
      <c r="C641" s="36" t="s">
        <v>31</v>
      </c>
      <c r="D641" s="36" t="s">
        <v>32</v>
      </c>
      <c r="E641" s="37">
        <v>5.4091997045199992E-2</v>
      </c>
      <c r="F641" s="37">
        <v>3.4929398789854166E-3</v>
      </c>
      <c r="G641" s="37">
        <v>4.9754939349882558E-2</v>
      </c>
      <c r="H641" s="38">
        <v>5.8429054740517426E-2</v>
      </c>
    </row>
    <row r="642" spans="1:8" ht="14.5" thickBot="1">
      <c r="A642" s="285" t="s">
        <v>80</v>
      </c>
      <c r="B642" s="264" t="s">
        <v>2</v>
      </c>
      <c r="C642" s="15" t="s">
        <v>6</v>
      </c>
      <c r="D642" s="15" t="s">
        <v>7</v>
      </c>
      <c r="E642" s="16">
        <v>236.45782498000045</v>
      </c>
      <c r="F642" s="16">
        <v>8.9558719325861826</v>
      </c>
      <c r="G642" s="16">
        <v>225.33764122957683</v>
      </c>
      <c r="H642" s="59">
        <v>247.57800873042407</v>
      </c>
    </row>
    <row r="643" spans="1:8" ht="14.5" thickBot="1">
      <c r="A643" s="285" t="s">
        <v>211</v>
      </c>
      <c r="B643" s="264" t="s">
        <v>2</v>
      </c>
      <c r="C643" s="10" t="s">
        <v>8</v>
      </c>
      <c r="D643" s="10" t="s">
        <v>9</v>
      </c>
      <c r="E643" s="12">
        <v>13.136545832222247</v>
      </c>
      <c r="F643" s="12">
        <v>0.49754844069923193</v>
      </c>
      <c r="G643" s="12">
        <v>12.518757846087601</v>
      </c>
      <c r="H643" s="28">
        <v>13.754333818356892</v>
      </c>
    </row>
    <row r="644" spans="1:8" ht="14.5" thickBot="1">
      <c r="A644" s="285" t="s">
        <v>212</v>
      </c>
      <c r="B644" s="264" t="s">
        <v>2</v>
      </c>
      <c r="C644" s="9" t="s">
        <v>10</v>
      </c>
      <c r="D644" s="9" t="s">
        <v>11</v>
      </c>
      <c r="E644" s="11">
        <v>76.213123900196138</v>
      </c>
      <c r="F644" s="11">
        <v>2.9582884727062084</v>
      </c>
      <c r="G644" s="11">
        <v>72.539923607597316</v>
      </c>
      <c r="H644" s="29">
        <v>79.886324192794959</v>
      </c>
    </row>
    <row r="645" spans="1:8" ht="14.5" thickBot="1">
      <c r="A645" s="285" t="s">
        <v>213</v>
      </c>
      <c r="B645" s="264" t="s">
        <v>2</v>
      </c>
      <c r="C645" s="291" t="s">
        <v>12</v>
      </c>
      <c r="D645" s="291" t="s">
        <v>13</v>
      </c>
      <c r="E645" s="292">
        <v>3.1329665777313229</v>
      </c>
      <c r="F645" s="292">
        <v>1.3031854841274858E-2</v>
      </c>
      <c r="G645" s="292">
        <v>3.1167853927462472</v>
      </c>
      <c r="H645" s="293">
        <v>3.1491477627163986</v>
      </c>
    </row>
    <row r="646" spans="1:8" ht="14.5" thickBot="1">
      <c r="A646" s="285" t="s">
        <v>214</v>
      </c>
      <c r="B646" s="264" t="s">
        <v>2</v>
      </c>
      <c r="C646" s="9" t="s">
        <v>14</v>
      </c>
      <c r="D646" s="9" t="s">
        <v>13</v>
      </c>
      <c r="E646" s="11">
        <v>9.5431249999999999</v>
      </c>
      <c r="F646" s="11">
        <v>1.5820733404894671</v>
      </c>
      <c r="G646" s="11">
        <v>7.578721490736207</v>
      </c>
      <c r="H646" s="29">
        <v>11.507528509263793</v>
      </c>
    </row>
    <row r="647" spans="1:8" ht="14.5" thickBot="1">
      <c r="A647" s="285" t="s">
        <v>215</v>
      </c>
      <c r="B647" s="264" t="s">
        <v>2</v>
      </c>
      <c r="C647" s="10" t="s">
        <v>15</v>
      </c>
      <c r="D647" s="10" t="s">
        <v>16</v>
      </c>
      <c r="E647" s="12">
        <v>5308.9210937500002</v>
      </c>
      <c r="F647" s="12">
        <v>23.422904863167673</v>
      </c>
      <c r="G647" s="12">
        <v>5279.837716050125</v>
      </c>
      <c r="H647" s="28">
        <v>5338.0044714498754</v>
      </c>
    </row>
    <row r="648" spans="1:8" ht="14.5" thickBot="1">
      <c r="A648" s="285" t="s">
        <v>216</v>
      </c>
      <c r="B648" s="264" t="s">
        <v>2</v>
      </c>
      <c r="C648" s="297" t="s">
        <v>17</v>
      </c>
      <c r="D648" s="297" t="s">
        <v>16</v>
      </c>
      <c r="E648" s="298">
        <v>5301.1653952985289</v>
      </c>
      <c r="F648" s="298">
        <v>19.435243484590451</v>
      </c>
      <c r="G648" s="298">
        <v>5277.0333531691076</v>
      </c>
      <c r="H648" s="299">
        <v>5325.2974374279502</v>
      </c>
    </row>
    <row r="649" spans="1:8" ht="14.5" thickBot="1">
      <c r="A649" s="285" t="s">
        <v>217</v>
      </c>
      <c r="B649" s="264" t="s">
        <v>2</v>
      </c>
      <c r="C649" s="10" t="s">
        <v>18</v>
      </c>
      <c r="D649" s="10" t="s">
        <v>16</v>
      </c>
      <c r="E649" s="12">
        <v>5318.0398437499998</v>
      </c>
      <c r="F649" s="12">
        <v>19.918772813001723</v>
      </c>
      <c r="G649" s="12">
        <v>5293.3074206614574</v>
      </c>
      <c r="H649" s="28">
        <v>5342.7722668385422</v>
      </c>
    </row>
    <row r="650" spans="1:8" ht="14.5" thickBot="1">
      <c r="A650" s="285" t="s">
        <v>218</v>
      </c>
      <c r="B650" s="264" t="s">
        <v>2</v>
      </c>
      <c r="C650" s="9" t="s">
        <v>19</v>
      </c>
      <c r="D650" s="9" t="s">
        <v>16</v>
      </c>
      <c r="E650" s="11">
        <v>0</v>
      </c>
      <c r="F650" s="11">
        <v>0</v>
      </c>
      <c r="G650" s="11">
        <v>0</v>
      </c>
      <c r="H650" s="29">
        <v>0</v>
      </c>
    </row>
    <row r="651" spans="1:8" ht="14.5" thickBot="1">
      <c r="A651" s="285" t="s">
        <v>219</v>
      </c>
      <c r="B651" s="264" t="s">
        <v>2</v>
      </c>
      <c r="C651" s="10" t="s">
        <v>20</v>
      </c>
      <c r="D651" s="10" t="s">
        <v>16</v>
      </c>
      <c r="E651" s="12">
        <v>9.1187500000000004</v>
      </c>
      <c r="F651" s="12">
        <v>4.7266856582611583</v>
      </c>
      <c r="G651" s="12">
        <v>3.2497945877291627</v>
      </c>
      <c r="H651" s="28">
        <v>14.987705412270838</v>
      </c>
    </row>
    <row r="652" spans="1:8" ht="14.5" thickBot="1">
      <c r="A652" s="285" t="s">
        <v>220</v>
      </c>
      <c r="B652" s="264" t="s">
        <v>2</v>
      </c>
      <c r="C652" s="9" t="s">
        <v>21</v>
      </c>
      <c r="D652" s="9" t="s">
        <v>16</v>
      </c>
      <c r="E652" s="11">
        <v>2446.3039062500002</v>
      </c>
      <c r="F652" s="11">
        <v>37.256258895711696</v>
      </c>
      <c r="G652" s="11">
        <v>2400.0441508747317</v>
      </c>
      <c r="H652" s="29">
        <v>2492.5636616252687</v>
      </c>
    </row>
    <row r="653" spans="1:8" ht="14.5" thickBot="1">
      <c r="A653" s="285" t="s">
        <v>221</v>
      </c>
      <c r="B653" s="264" t="s">
        <v>2</v>
      </c>
      <c r="C653" s="282" t="s">
        <v>22</v>
      </c>
      <c r="D653" s="282" t="s">
        <v>16</v>
      </c>
      <c r="E653" s="283">
        <v>2988.6946742526011</v>
      </c>
      <c r="F653" s="283">
        <v>33.883905562604781</v>
      </c>
      <c r="G653" s="283">
        <v>2946.6222485999756</v>
      </c>
      <c r="H653" s="284">
        <v>3030.7670999052266</v>
      </c>
    </row>
    <row r="654" spans="1:8" ht="14.5" thickBot="1">
      <c r="A654" s="285" t="s">
        <v>222</v>
      </c>
      <c r="B654" s="264" t="s">
        <v>2</v>
      </c>
      <c r="C654" s="9" t="s">
        <v>23</v>
      </c>
      <c r="D654" s="9" t="s">
        <v>16</v>
      </c>
      <c r="E654" s="11">
        <v>2992.58984375</v>
      </c>
      <c r="F654" s="11">
        <v>36.087576836139839</v>
      </c>
      <c r="G654" s="11">
        <v>2947.7811988133453</v>
      </c>
      <c r="H654" s="29">
        <v>3037.3984886866547</v>
      </c>
    </row>
    <row r="655" spans="1:8" ht="14.5" thickBot="1">
      <c r="A655" s="285" t="s">
        <v>223</v>
      </c>
      <c r="B655" s="264" t="s">
        <v>2</v>
      </c>
      <c r="C655" s="10" t="s">
        <v>24</v>
      </c>
      <c r="D655" s="10" t="s">
        <v>16</v>
      </c>
      <c r="E655" s="12">
        <v>542.39076800260113</v>
      </c>
      <c r="F655" s="12">
        <v>24.936860893714641</v>
      </c>
      <c r="G655" s="12">
        <v>511.42756560486612</v>
      </c>
      <c r="H655" s="28">
        <v>573.35397040033615</v>
      </c>
    </row>
    <row r="656" spans="1:8" ht="14.5" thickBot="1">
      <c r="A656" s="285" t="s">
        <v>224</v>
      </c>
      <c r="B656" s="264" t="s">
        <v>2</v>
      </c>
      <c r="C656" s="9" t="s">
        <v>25</v>
      </c>
      <c r="D656" s="9" t="s">
        <v>16</v>
      </c>
      <c r="E656" s="11">
        <v>546.28593750000005</v>
      </c>
      <c r="F656" s="11">
        <v>31.944327372313403</v>
      </c>
      <c r="G656" s="11">
        <v>506.62181625778908</v>
      </c>
      <c r="H656" s="29">
        <v>585.95005874221101</v>
      </c>
    </row>
    <row r="657" spans="1:8" ht="14.5" thickBot="1">
      <c r="A657" s="285" t="s">
        <v>225</v>
      </c>
      <c r="B657" s="264" t="s">
        <v>2</v>
      </c>
      <c r="C657" s="10" t="s">
        <v>26</v>
      </c>
      <c r="D657" s="10" t="s">
        <v>13</v>
      </c>
      <c r="E657" s="12">
        <v>37.626144369247321</v>
      </c>
      <c r="F657" s="12">
        <v>1.4116638344915722</v>
      </c>
      <c r="G657" s="12">
        <v>35.873332208517731</v>
      </c>
      <c r="H657" s="28">
        <v>39.378956529976911</v>
      </c>
    </row>
    <row r="658" spans="1:8" ht="14.5" thickBot="1">
      <c r="A658" s="285" t="s">
        <v>226</v>
      </c>
      <c r="B658" s="264" t="s">
        <v>2</v>
      </c>
      <c r="C658" s="9" t="s">
        <v>27</v>
      </c>
      <c r="D658" s="9" t="s">
        <v>13</v>
      </c>
      <c r="E658" s="11">
        <v>97</v>
      </c>
      <c r="F658" s="11">
        <v>5.6124860801609122</v>
      </c>
      <c r="G658" s="11">
        <v>90.031178094340888</v>
      </c>
      <c r="H658" s="29">
        <v>103.96882190565911</v>
      </c>
    </row>
    <row r="659" spans="1:8" ht="14.5" thickBot="1">
      <c r="A659" s="285" t="s">
        <v>227</v>
      </c>
      <c r="B659" s="264" t="s">
        <v>2</v>
      </c>
      <c r="C659" s="10" t="s">
        <v>28</v>
      </c>
      <c r="D659" s="10" t="s">
        <v>29</v>
      </c>
      <c r="E659" s="12">
        <v>33.166575557872193</v>
      </c>
      <c r="F659" s="12">
        <v>2.1976808286195175</v>
      </c>
      <c r="G659" s="12">
        <v>30.437794393627119</v>
      </c>
      <c r="H659" s="28">
        <v>35.895356722117263</v>
      </c>
    </row>
    <row r="660" spans="1:8" ht="14.5" thickBot="1">
      <c r="A660" s="285" t="s">
        <v>228</v>
      </c>
      <c r="B660" s="264" t="s">
        <v>2</v>
      </c>
      <c r="C660" s="9" t="s">
        <v>30</v>
      </c>
      <c r="D660" s="9" t="s">
        <v>29</v>
      </c>
      <c r="E660" s="11">
        <v>100.1718</v>
      </c>
      <c r="F660" s="11">
        <v>8.438253533759223</v>
      </c>
      <c r="G660" s="11">
        <v>89.694324380161902</v>
      </c>
      <c r="H660" s="29">
        <v>110.64927561983811</v>
      </c>
    </row>
    <row r="661" spans="1:8" ht="14.5" thickBot="1">
      <c r="A661" s="285" t="s">
        <v>229</v>
      </c>
      <c r="B661" s="264" t="s">
        <v>2</v>
      </c>
      <c r="C661" s="36" t="s">
        <v>31</v>
      </c>
      <c r="D661" s="36" t="s">
        <v>32</v>
      </c>
      <c r="E661" s="37">
        <v>2.178335987565982</v>
      </c>
      <c r="F661" s="37">
        <v>8.5648009293841587E-2</v>
      </c>
      <c r="G661" s="37">
        <v>2.0719899379155735</v>
      </c>
      <c r="H661" s="38">
        <v>2.2846820372163905</v>
      </c>
    </row>
    <row r="662" spans="1:8" ht="14.5" thickBot="1">
      <c r="A662" s="285" t="s">
        <v>230</v>
      </c>
      <c r="B662" s="265" t="s">
        <v>3</v>
      </c>
      <c r="C662" s="15" t="s">
        <v>6</v>
      </c>
      <c r="D662" s="15" t="s">
        <v>7</v>
      </c>
      <c r="E662" s="16">
        <v>78.649583800000073</v>
      </c>
      <c r="F662" s="16">
        <v>1.4916459468351253</v>
      </c>
      <c r="G662" s="16">
        <v>76.797460729880271</v>
      </c>
      <c r="H662" s="59">
        <v>80.501706870119875</v>
      </c>
    </row>
    <row r="663" spans="1:8" ht="14.5" thickBot="1">
      <c r="A663" s="285" t="s">
        <v>231</v>
      </c>
      <c r="B663" s="265" t="s">
        <v>87</v>
      </c>
      <c r="C663" s="10" t="s">
        <v>8</v>
      </c>
      <c r="D663" s="10" t="s">
        <v>9</v>
      </c>
      <c r="E663" s="12">
        <v>13.194025130011756</v>
      </c>
      <c r="F663" s="12">
        <v>0.25023417997569564</v>
      </c>
      <c r="G663" s="12">
        <v>12.883318357638029</v>
      </c>
      <c r="H663" s="28">
        <v>13.504731902385483</v>
      </c>
    </row>
    <row r="664" spans="1:8" ht="14.5" thickBot="1">
      <c r="A664" s="285" t="s">
        <v>232</v>
      </c>
      <c r="B664" s="265" t="s">
        <v>88</v>
      </c>
      <c r="C664" s="9" t="s">
        <v>10</v>
      </c>
      <c r="D664" s="9" t="s">
        <v>11</v>
      </c>
      <c r="E664" s="11">
        <v>75.813659492381959</v>
      </c>
      <c r="F664" s="11">
        <v>1.4353609446235098</v>
      </c>
      <c r="G664" s="11">
        <v>74.031423483142163</v>
      </c>
      <c r="H664" s="29">
        <v>77.595895501621754</v>
      </c>
    </row>
    <row r="665" spans="1:8" ht="14.5" thickBot="1">
      <c r="A665" s="285" t="s">
        <v>233</v>
      </c>
      <c r="B665" s="265" t="s">
        <v>89</v>
      </c>
      <c r="C665" s="291" t="s">
        <v>12</v>
      </c>
      <c r="D665" s="291" t="s">
        <v>13</v>
      </c>
      <c r="E665" s="292">
        <v>3.0995606690852342</v>
      </c>
      <c r="F665" s="292">
        <v>2.6424428743424988E-2</v>
      </c>
      <c r="G665" s="292">
        <v>3.0667504072437599</v>
      </c>
      <c r="H665" s="293">
        <v>3.1323709309267085</v>
      </c>
    </row>
    <row r="666" spans="1:8" ht="14.5" thickBot="1">
      <c r="A666" s="285" t="s">
        <v>234</v>
      </c>
      <c r="B666" s="265" t="s">
        <v>90</v>
      </c>
      <c r="C666" s="9" t="s">
        <v>14</v>
      </c>
      <c r="D666" s="9" t="s">
        <v>13</v>
      </c>
      <c r="E666" s="11">
        <v>7.61</v>
      </c>
      <c r="F666" s="11">
        <v>0.68854820660030736</v>
      </c>
      <c r="G666" s="11">
        <v>6.7550544808975372</v>
      </c>
      <c r="H666" s="29">
        <v>8.4649455191024625</v>
      </c>
    </row>
    <row r="667" spans="1:8" ht="14.5" thickBot="1">
      <c r="A667" s="285" t="s">
        <v>235</v>
      </c>
      <c r="B667" s="265" t="s">
        <v>91</v>
      </c>
      <c r="C667" s="10" t="s">
        <v>15</v>
      </c>
      <c r="D667" s="10" t="s">
        <v>16</v>
      </c>
      <c r="E667" s="12">
        <v>2364.7046875000001</v>
      </c>
      <c r="F667" s="12">
        <v>8.6822637132279716</v>
      </c>
      <c r="G667" s="12">
        <v>2353.924233225142</v>
      </c>
      <c r="H667" s="28">
        <v>2375.4851417748582</v>
      </c>
    </row>
    <row r="668" spans="1:8" ht="14.5" thickBot="1">
      <c r="A668" s="285" t="s">
        <v>236</v>
      </c>
      <c r="B668" s="265" t="s">
        <v>92</v>
      </c>
      <c r="C668" s="297" t="s">
        <v>17</v>
      </c>
      <c r="D668" s="297" t="s">
        <v>16</v>
      </c>
      <c r="E668" s="298">
        <v>2366.9571717970312</v>
      </c>
      <c r="F668" s="298">
        <v>2.6867246982705435</v>
      </c>
      <c r="G668" s="298">
        <v>2363.6211624663415</v>
      </c>
      <c r="H668" s="299">
        <v>2370.2931811277208</v>
      </c>
    </row>
    <row r="669" spans="1:8" ht="14.5" thickBot="1">
      <c r="A669" s="285" t="s">
        <v>237</v>
      </c>
      <c r="B669" s="265" t="s">
        <v>93</v>
      </c>
      <c r="C669" s="10" t="s">
        <v>18</v>
      </c>
      <c r="D669" s="10" t="s">
        <v>16</v>
      </c>
      <c r="E669" s="12">
        <v>2378.625</v>
      </c>
      <c r="F669" s="12">
        <v>2.9834877812420002</v>
      </c>
      <c r="G669" s="12">
        <v>2374.9205106332147</v>
      </c>
      <c r="H669" s="28">
        <v>2382.3294893667853</v>
      </c>
    </row>
    <row r="670" spans="1:8" ht="14.5" thickBot="1">
      <c r="A670" s="285" t="s">
        <v>238</v>
      </c>
      <c r="B670" s="265" t="s">
        <v>94</v>
      </c>
      <c r="C670" s="9" t="s">
        <v>19</v>
      </c>
      <c r="D670" s="9" t="s">
        <v>16</v>
      </c>
      <c r="E670" s="11">
        <v>4.5043212902744019</v>
      </c>
      <c r="F670" s="11">
        <v>2.5270624530159327</v>
      </c>
      <c r="G670" s="11">
        <v>1.3665588213755608</v>
      </c>
      <c r="H670" s="29">
        <v>7.6420837591732429</v>
      </c>
    </row>
    <row r="671" spans="1:8" ht="14.5" thickBot="1">
      <c r="A671" s="285" t="s">
        <v>239</v>
      </c>
      <c r="B671" s="265" t="s">
        <v>95</v>
      </c>
      <c r="C671" s="10" t="s">
        <v>20</v>
      </c>
      <c r="D671" s="10" t="s">
        <v>16</v>
      </c>
      <c r="E671" s="12">
        <v>13.9203125</v>
      </c>
      <c r="F671" s="12">
        <v>7.5038186079603415</v>
      </c>
      <c r="G671" s="12">
        <v>4.6030910861079146</v>
      </c>
      <c r="H671" s="28">
        <v>23.237533913892086</v>
      </c>
    </row>
    <row r="672" spans="1:8" ht="14.5" thickBot="1">
      <c r="A672" s="285" t="s">
        <v>240</v>
      </c>
      <c r="B672" s="265" t="s">
        <v>96</v>
      </c>
      <c r="C672" s="9" t="s">
        <v>21</v>
      </c>
      <c r="D672" s="9" t="s">
        <v>16</v>
      </c>
      <c r="E672" s="11">
        <v>2717.1070312500001</v>
      </c>
      <c r="F672" s="11">
        <v>5.3665631459994954</v>
      </c>
      <c r="G672" s="11">
        <v>2710.4435629980003</v>
      </c>
      <c r="H672" s="29">
        <v>2723.7704995019999</v>
      </c>
    </row>
    <row r="673" spans="1:8" ht="14.5" thickBot="1">
      <c r="A673" s="285" t="s">
        <v>241</v>
      </c>
      <c r="B673" s="265" t="s">
        <v>97</v>
      </c>
      <c r="C673" s="282" t="s">
        <v>22</v>
      </c>
      <c r="D673" s="282" t="s">
        <v>16</v>
      </c>
      <c r="E673" s="283">
        <v>3246.8667794185371</v>
      </c>
      <c r="F673" s="283">
        <v>5.3467231612650261</v>
      </c>
      <c r="G673" s="283">
        <v>3240.2279457613049</v>
      </c>
      <c r="H673" s="284">
        <v>3253.5056130757694</v>
      </c>
    </row>
    <row r="674" spans="1:8" ht="14.5" thickBot="1">
      <c r="A674" s="285" t="s">
        <v>242</v>
      </c>
      <c r="B674" s="265" t="s">
        <v>98</v>
      </c>
      <c r="C674" s="9" t="s">
        <v>23</v>
      </c>
      <c r="D674" s="9" t="s">
        <v>16</v>
      </c>
      <c r="E674" s="11">
        <v>3249.1070312500001</v>
      </c>
      <c r="F674" s="11">
        <v>5.3665631459994954</v>
      </c>
      <c r="G674" s="11">
        <v>3242.4435629980003</v>
      </c>
      <c r="H674" s="29">
        <v>3255.7704995019999</v>
      </c>
    </row>
    <row r="675" spans="1:8" ht="14.5" thickBot="1">
      <c r="A675" s="285" t="s">
        <v>243</v>
      </c>
      <c r="B675" s="265" t="s">
        <v>99</v>
      </c>
      <c r="C675" s="10" t="s">
        <v>24</v>
      </c>
      <c r="D675" s="10" t="s">
        <v>16</v>
      </c>
      <c r="E675" s="12">
        <v>529.75974816853716</v>
      </c>
      <c r="F675" s="12">
        <v>4.1214058441517203E-2</v>
      </c>
      <c r="G675" s="12">
        <v>529.70857415595412</v>
      </c>
      <c r="H675" s="28">
        <v>529.81092218112019</v>
      </c>
    </row>
    <row r="676" spans="1:8" ht="14.5" thickBot="1">
      <c r="A676" s="285" t="s">
        <v>244</v>
      </c>
      <c r="B676" s="265" t="s">
        <v>100</v>
      </c>
      <c r="C676" s="9" t="s">
        <v>25</v>
      </c>
      <c r="D676" s="9" t="s">
        <v>16</v>
      </c>
      <c r="E676" s="11">
        <v>532</v>
      </c>
      <c r="F676" s="11">
        <v>0</v>
      </c>
      <c r="G676" s="11">
        <v>532</v>
      </c>
      <c r="H676" s="29">
        <v>532</v>
      </c>
    </row>
    <row r="677" spans="1:8" ht="14.5" thickBot="1">
      <c r="A677" s="285" t="s">
        <v>245</v>
      </c>
      <c r="B677" s="265" t="s">
        <v>101</v>
      </c>
      <c r="C677" s="10" t="s">
        <v>26</v>
      </c>
      <c r="D677" s="10" t="s">
        <v>13</v>
      </c>
      <c r="E677" s="12">
        <v>38.384611019307258</v>
      </c>
      <c r="F677" s="12">
        <v>1.3772290384340622</v>
      </c>
      <c r="G677" s="12">
        <v>36.67455530512472</v>
      </c>
      <c r="H677" s="28">
        <v>40.094666733489795</v>
      </c>
    </row>
    <row r="678" spans="1:8" ht="14.5" thickBot="1">
      <c r="A678" s="285" t="s">
        <v>246</v>
      </c>
      <c r="B678" s="265" t="s">
        <v>102</v>
      </c>
      <c r="C678" s="9" t="s">
        <v>27</v>
      </c>
      <c r="D678" s="9" t="s">
        <v>13</v>
      </c>
      <c r="E678" s="11">
        <v>99.6</v>
      </c>
      <c r="F678" s="11">
        <v>0.54772255750516607</v>
      </c>
      <c r="G678" s="11">
        <v>98.919912619390189</v>
      </c>
      <c r="H678" s="29">
        <v>100.2800873806098</v>
      </c>
    </row>
    <row r="679" spans="1:8" ht="14.5" thickBot="1">
      <c r="A679" s="285" t="s">
        <v>247</v>
      </c>
      <c r="B679" s="265" t="s">
        <v>103</v>
      </c>
      <c r="C679" s="10" t="s">
        <v>28</v>
      </c>
      <c r="D679" s="10" t="s">
        <v>29</v>
      </c>
      <c r="E679" s="12">
        <v>31.931097445073366</v>
      </c>
      <c r="F679" s="12">
        <v>2.2227528401684884</v>
      </c>
      <c r="G679" s="12">
        <v>29.171185266727605</v>
      </c>
      <c r="H679" s="28">
        <v>34.691009623419127</v>
      </c>
    </row>
    <row r="680" spans="1:8" ht="14.5" thickBot="1">
      <c r="A680" s="285" t="s">
        <v>248</v>
      </c>
      <c r="B680" s="265" t="s">
        <v>104</v>
      </c>
      <c r="C680" s="9" t="s">
        <v>30</v>
      </c>
      <c r="D680" s="9" t="s">
        <v>29</v>
      </c>
      <c r="E680" s="11">
        <v>82.611000000000004</v>
      </c>
      <c r="F680" s="11">
        <v>10.536191128676434</v>
      </c>
      <c r="G680" s="11">
        <v>69.528590798260581</v>
      </c>
      <c r="H680" s="29">
        <v>95.693409201739428</v>
      </c>
    </row>
    <row r="681" spans="1:8" ht="14.5" thickBot="1">
      <c r="A681" s="285" t="s">
        <v>249</v>
      </c>
      <c r="B681" s="265" t="s">
        <v>105</v>
      </c>
      <c r="C681" s="36" t="s">
        <v>31</v>
      </c>
      <c r="D681" s="36" t="s">
        <v>32</v>
      </c>
      <c r="E681" s="37">
        <v>0.69930838693334763</v>
      </c>
      <c r="F681" s="37">
        <v>5.372834597251526E-2</v>
      </c>
      <c r="G681" s="37">
        <v>0.63259583406099185</v>
      </c>
      <c r="H681" s="38">
        <v>0.7660209398057034</v>
      </c>
    </row>
    <row r="682" spans="1:8" ht="14.5" thickBot="1">
      <c r="A682" s="285" t="s">
        <v>250</v>
      </c>
      <c r="B682" s="264" t="s">
        <v>4</v>
      </c>
      <c r="C682" s="15" t="s">
        <v>6</v>
      </c>
      <c r="D682" s="15" t="s">
        <v>7</v>
      </c>
      <c r="E682" s="16">
        <v>39.160150320000049</v>
      </c>
      <c r="F682" s="16">
        <v>1.3719553558457109</v>
      </c>
      <c r="G682" s="16">
        <v>37.456642747624954</v>
      </c>
      <c r="H682" s="59">
        <v>40.863657892375144</v>
      </c>
    </row>
    <row r="683" spans="1:8" ht="14.5" thickBot="1">
      <c r="A683" s="285" t="s">
        <v>251</v>
      </c>
      <c r="B683" s="264" t="s">
        <v>4</v>
      </c>
      <c r="C683" s="10" t="s">
        <v>8</v>
      </c>
      <c r="D683" s="10" t="s">
        <v>9</v>
      </c>
      <c r="E683" s="12">
        <v>13.053383440000015</v>
      </c>
      <c r="F683" s="12">
        <v>0.45731845194856996</v>
      </c>
      <c r="G683" s="12">
        <v>12.485547582541651</v>
      </c>
      <c r="H683" s="28">
        <v>13.62121929745838</v>
      </c>
    </row>
    <row r="684" spans="1:8" ht="14.5" thickBot="1">
      <c r="A684" s="285" t="s">
        <v>252</v>
      </c>
      <c r="B684" s="264" t="s">
        <v>4</v>
      </c>
      <c r="C684" s="9" t="s">
        <v>10</v>
      </c>
      <c r="D684" s="9" t="s">
        <v>11</v>
      </c>
      <c r="E684" s="11">
        <v>76.683128858156834</v>
      </c>
      <c r="F684" s="11">
        <v>2.6636050185023077</v>
      </c>
      <c r="G684" s="11">
        <v>73.375826401483266</v>
      </c>
      <c r="H684" s="29">
        <v>79.990431314830403</v>
      </c>
    </row>
    <row r="685" spans="1:8" ht="14.5" thickBot="1">
      <c r="A685" s="285" t="s">
        <v>253</v>
      </c>
      <c r="B685" s="264" t="s">
        <v>4</v>
      </c>
      <c r="C685" s="291" t="s">
        <v>12</v>
      </c>
      <c r="D685" s="291" t="s">
        <v>13</v>
      </c>
      <c r="E685" s="292">
        <v>3.0827570822438921</v>
      </c>
      <c r="F685" s="292">
        <v>3.3458298314423381E-2</v>
      </c>
      <c r="G685" s="292">
        <v>3.0412131177886703</v>
      </c>
      <c r="H685" s="293">
        <v>3.1243010466991139</v>
      </c>
    </row>
    <row r="686" spans="1:8" ht="14.5" thickBot="1">
      <c r="A686" s="285" t="s">
        <v>254</v>
      </c>
      <c r="B686" s="264" t="s">
        <v>4</v>
      </c>
      <c r="C686" s="9" t="s">
        <v>14</v>
      </c>
      <c r="D686" s="9" t="s">
        <v>13</v>
      </c>
      <c r="E686" s="11">
        <v>7.7793749999999999</v>
      </c>
      <c r="F686" s="11">
        <v>1.1204194945421113</v>
      </c>
      <c r="G686" s="11">
        <v>6.3881904508405096</v>
      </c>
      <c r="H686" s="29">
        <v>9.1705595491594902</v>
      </c>
    </row>
    <row r="687" spans="1:8" ht="14.5" thickBot="1">
      <c r="A687" s="285" t="s">
        <v>255</v>
      </c>
      <c r="B687" s="264" t="s">
        <v>4</v>
      </c>
      <c r="C687" s="10" t="s">
        <v>15</v>
      </c>
      <c r="D687" s="10" t="s">
        <v>16</v>
      </c>
      <c r="E687" s="12">
        <v>6822.1968749999996</v>
      </c>
      <c r="F687" s="12">
        <v>7.8057219620686649</v>
      </c>
      <c r="G687" s="12">
        <v>6812.5047910604007</v>
      </c>
      <c r="H687" s="28">
        <v>6831.8889589395985</v>
      </c>
    </row>
    <row r="688" spans="1:8" ht="14.5" thickBot="1">
      <c r="A688" s="285" t="s">
        <v>256</v>
      </c>
      <c r="B688" s="264" t="s">
        <v>4</v>
      </c>
      <c r="C688" s="297" t="s">
        <v>17</v>
      </c>
      <c r="D688" s="297" t="s">
        <v>16</v>
      </c>
      <c r="E688" s="298">
        <v>6824.8702917083119</v>
      </c>
      <c r="F688" s="298">
        <v>7.1792894633858934E-2</v>
      </c>
      <c r="G688" s="298">
        <v>6824.7811490557242</v>
      </c>
      <c r="H688" s="299">
        <v>6824.9594343608996</v>
      </c>
    </row>
    <row r="689" spans="1:8" ht="14.5" thickBot="1">
      <c r="A689" s="285" t="s">
        <v>257</v>
      </c>
      <c r="B689" s="264" t="s">
        <v>4</v>
      </c>
      <c r="C689" s="10" t="s">
        <v>18</v>
      </c>
      <c r="D689" s="10" t="s">
        <v>16</v>
      </c>
      <c r="E689" s="12">
        <v>6834.3921874999996</v>
      </c>
      <c r="F689" s="12">
        <v>2.7720474069127814</v>
      </c>
      <c r="G689" s="12">
        <v>6830.9502360337674</v>
      </c>
      <c r="H689" s="28">
        <v>6837.8341389662319</v>
      </c>
    </row>
    <row r="690" spans="1:8" ht="14.5" thickBot="1">
      <c r="A690" s="285" t="s">
        <v>258</v>
      </c>
      <c r="B690" s="264" t="s">
        <v>4</v>
      </c>
      <c r="C690" s="9" t="s">
        <v>19</v>
      </c>
      <c r="D690" s="9" t="s">
        <v>16</v>
      </c>
      <c r="E690" s="11">
        <v>4.9554160271132783</v>
      </c>
      <c r="F690" s="11">
        <v>2.7701972887648627</v>
      </c>
      <c r="G690" s="11">
        <v>1.5157617859773116</v>
      </c>
      <c r="H690" s="29">
        <v>8.3950702682492455</v>
      </c>
    </row>
    <row r="691" spans="1:8" ht="14.5" thickBot="1">
      <c r="A691" s="285" t="s">
        <v>259</v>
      </c>
      <c r="B691" s="264" t="s">
        <v>4</v>
      </c>
      <c r="C691" s="10" t="s">
        <v>20</v>
      </c>
      <c r="D691" s="10" t="s">
        <v>16</v>
      </c>
      <c r="E691" s="12">
        <v>12.1953125</v>
      </c>
      <c r="F691" s="12">
        <v>7.1751454195711037</v>
      </c>
      <c r="G691" s="12">
        <v>3.2861927512766034</v>
      </c>
      <c r="H691" s="28">
        <v>21.104432248723398</v>
      </c>
    </row>
    <row r="692" spans="1:8" ht="14.5" thickBot="1">
      <c r="A692" s="285" t="s">
        <v>260</v>
      </c>
      <c r="B692" s="264" t="s">
        <v>4</v>
      </c>
      <c r="C692" s="9" t="s">
        <v>21</v>
      </c>
      <c r="D692" s="9" t="s">
        <v>16</v>
      </c>
      <c r="E692" s="11">
        <v>2726.76953125</v>
      </c>
      <c r="F692" s="11">
        <v>0</v>
      </c>
      <c r="G692" s="11">
        <v>2726.76953125</v>
      </c>
      <c r="H692" s="29">
        <v>2726.76953125</v>
      </c>
    </row>
    <row r="693" spans="1:8" ht="14.5" thickBot="1">
      <c r="A693" s="285" t="s">
        <v>261</v>
      </c>
      <c r="B693" s="264" t="s">
        <v>4</v>
      </c>
      <c r="C693" s="282" t="s">
        <v>22</v>
      </c>
      <c r="D693" s="282" t="s">
        <v>16</v>
      </c>
      <c r="E693" s="283">
        <v>3254.2952585374569</v>
      </c>
      <c r="F693" s="283">
        <v>0.13649917487683089</v>
      </c>
      <c r="G693" s="283">
        <v>3254.12577242624</v>
      </c>
      <c r="H693" s="284">
        <v>3254.4647446486738</v>
      </c>
    </row>
    <row r="694" spans="1:8" ht="14.5" thickBot="1">
      <c r="A694" s="285" t="s">
        <v>262</v>
      </c>
      <c r="B694" s="264" t="s">
        <v>4</v>
      </c>
      <c r="C694" s="9" t="s">
        <v>23</v>
      </c>
      <c r="D694" s="9" t="s">
        <v>16</v>
      </c>
      <c r="E694" s="11">
        <v>3258.76953125</v>
      </c>
      <c r="F694" s="11">
        <v>0</v>
      </c>
      <c r="G694" s="11">
        <v>3258.76953125</v>
      </c>
      <c r="H694" s="29">
        <v>3258.76953125</v>
      </c>
    </row>
    <row r="695" spans="1:8" ht="14.5" thickBot="1">
      <c r="A695" s="285" t="s">
        <v>263</v>
      </c>
      <c r="B695" s="264" t="s">
        <v>4</v>
      </c>
      <c r="C695" s="10" t="s">
        <v>24</v>
      </c>
      <c r="D695" s="10" t="s">
        <v>16</v>
      </c>
      <c r="E695" s="12">
        <v>527.52572728745668</v>
      </c>
      <c r="F695" s="12">
        <v>0.13649917487683089</v>
      </c>
      <c r="G695" s="12">
        <v>527.35624117623968</v>
      </c>
      <c r="H695" s="28">
        <v>527.69521339867367</v>
      </c>
    </row>
    <row r="696" spans="1:8" ht="14.5" thickBot="1">
      <c r="A696" s="285" t="s">
        <v>264</v>
      </c>
      <c r="B696" s="264" t="s">
        <v>4</v>
      </c>
      <c r="C696" s="9" t="s">
        <v>25</v>
      </c>
      <c r="D696" s="9" t="s">
        <v>16</v>
      </c>
      <c r="E696" s="11">
        <v>532</v>
      </c>
      <c r="F696" s="11">
        <v>0</v>
      </c>
      <c r="G696" s="11">
        <v>532</v>
      </c>
      <c r="H696" s="29">
        <v>532</v>
      </c>
    </row>
    <row r="697" spans="1:8" ht="14.5" thickBot="1">
      <c r="A697" s="285" t="s">
        <v>265</v>
      </c>
      <c r="B697" s="264" t="s">
        <v>4</v>
      </c>
      <c r="C697" s="10" t="s">
        <v>26</v>
      </c>
      <c r="D697" s="10" t="s">
        <v>13</v>
      </c>
      <c r="E697" s="12">
        <v>38.688820842619755</v>
      </c>
      <c r="F697" s="12">
        <v>0.76967853134296438</v>
      </c>
      <c r="G697" s="12">
        <v>37.733138720128935</v>
      </c>
      <c r="H697" s="28">
        <v>39.644502965110576</v>
      </c>
    </row>
    <row r="698" spans="1:8" ht="14.5" thickBot="1">
      <c r="A698" s="285" t="s">
        <v>266</v>
      </c>
      <c r="B698" s="264" t="s">
        <v>4</v>
      </c>
      <c r="C698" s="9" t="s">
        <v>27</v>
      </c>
      <c r="D698" s="9" t="s">
        <v>13</v>
      </c>
      <c r="E698" s="11">
        <v>99.6</v>
      </c>
      <c r="F698" s="11">
        <v>0.54772255750516607</v>
      </c>
      <c r="G698" s="11">
        <v>98.919912619390189</v>
      </c>
      <c r="H698" s="29">
        <v>100.2800873806098</v>
      </c>
    </row>
    <row r="699" spans="1:8" ht="14.5" thickBot="1">
      <c r="A699" s="285" t="s">
        <v>267</v>
      </c>
      <c r="B699" s="264" t="s">
        <v>4</v>
      </c>
      <c r="C699" s="10" t="s">
        <v>28</v>
      </c>
      <c r="D699" s="10" t="s">
        <v>29</v>
      </c>
      <c r="E699" s="12">
        <v>31.940799965914582</v>
      </c>
      <c r="F699" s="12">
        <v>2.30352834032279</v>
      </c>
      <c r="G699" s="12">
        <v>29.080591757097466</v>
      </c>
      <c r="H699" s="28">
        <v>34.801008174731699</v>
      </c>
    </row>
    <row r="700" spans="1:8" ht="14.5" thickBot="1">
      <c r="A700" s="285" t="s">
        <v>268</v>
      </c>
      <c r="B700" s="264" t="s">
        <v>4</v>
      </c>
      <c r="C700" s="9" t="s">
        <v>30</v>
      </c>
      <c r="D700" s="9" t="s">
        <v>29</v>
      </c>
      <c r="E700" s="11">
        <v>79.751999999999995</v>
      </c>
      <c r="F700" s="11">
        <v>11.345672060305642</v>
      </c>
      <c r="G700" s="11">
        <v>65.664487468295746</v>
      </c>
      <c r="H700" s="29">
        <v>93.839512531704244</v>
      </c>
    </row>
    <row r="701" spans="1:8" ht="14.5" thickBot="1">
      <c r="A701" s="285" t="s">
        <v>269</v>
      </c>
      <c r="B701" s="264" t="s">
        <v>4</v>
      </c>
      <c r="C701" s="36" t="s">
        <v>31</v>
      </c>
      <c r="D701" s="36" t="s">
        <v>32</v>
      </c>
      <c r="E701" s="37">
        <v>0.34907591137817345</v>
      </c>
      <c r="F701" s="37">
        <v>3.2168669747130917E-2</v>
      </c>
      <c r="G701" s="37">
        <v>0.30913323228589995</v>
      </c>
      <c r="H701" s="38">
        <v>0.38901859047044696</v>
      </c>
    </row>
    <row r="702" spans="1:8" ht="14.5" thickBot="1">
      <c r="A702" s="285" t="s">
        <v>270</v>
      </c>
      <c r="B702" s="265" t="s">
        <v>5</v>
      </c>
      <c r="C702" s="15" t="s">
        <v>6</v>
      </c>
      <c r="D702" s="15" t="s">
        <v>7</v>
      </c>
      <c r="E702" s="16">
        <v>31.315540460000058</v>
      </c>
      <c r="F702" s="16">
        <v>0.22286488901424478</v>
      </c>
      <c r="G702" s="16">
        <v>31.038817150867107</v>
      </c>
      <c r="H702" s="59">
        <v>31.592263769133009</v>
      </c>
    </row>
    <row r="703" spans="1:8" ht="14.5" thickBot="1">
      <c r="A703" s="285" t="s">
        <v>271</v>
      </c>
      <c r="B703" s="265" t="s">
        <v>5</v>
      </c>
      <c r="C703" s="10" t="s">
        <v>8</v>
      </c>
      <c r="D703" s="10" t="s">
        <v>9</v>
      </c>
      <c r="E703" s="12">
        <v>12.652743620202044</v>
      </c>
      <c r="F703" s="12">
        <v>9.0046419803735109E-2</v>
      </c>
      <c r="G703" s="12">
        <v>12.540936222572569</v>
      </c>
      <c r="H703" s="28">
        <v>12.764551017831518</v>
      </c>
    </row>
    <row r="704" spans="1:8" ht="14.5" thickBot="1">
      <c r="A704" s="285" t="s">
        <v>272</v>
      </c>
      <c r="B704" s="265" t="s">
        <v>5</v>
      </c>
      <c r="C704" s="9" t="s">
        <v>10</v>
      </c>
      <c r="D704" s="9" t="s">
        <v>11</v>
      </c>
      <c r="E704" s="11">
        <v>79.037463559850337</v>
      </c>
      <c r="F704" s="11">
        <v>0.5658676285629759</v>
      </c>
      <c r="G704" s="11">
        <v>78.33484609776481</v>
      </c>
      <c r="H704" s="29">
        <v>79.740081021935865</v>
      </c>
    </row>
    <row r="705" spans="1:8" ht="14.5" thickBot="1">
      <c r="A705" s="285" t="s">
        <v>273</v>
      </c>
      <c r="B705" s="265" t="s">
        <v>5</v>
      </c>
      <c r="C705" s="291" t="s">
        <v>12</v>
      </c>
      <c r="D705" s="291" t="s">
        <v>13</v>
      </c>
      <c r="E705" s="292">
        <v>3.1194932807120472</v>
      </c>
      <c r="F705" s="292">
        <v>3.409998078959612E-2</v>
      </c>
      <c r="G705" s="292">
        <v>3.0771525622291822</v>
      </c>
      <c r="H705" s="293">
        <v>3.1618339991949123</v>
      </c>
    </row>
    <row r="706" spans="1:8" ht="14.5" thickBot="1">
      <c r="A706" s="285" t="s">
        <v>274</v>
      </c>
      <c r="B706" s="265" t="s">
        <v>5</v>
      </c>
      <c r="C706" s="9" t="s">
        <v>14</v>
      </c>
      <c r="D706" s="9" t="s">
        <v>13</v>
      </c>
      <c r="E706" s="11">
        <v>6.8674999999999997</v>
      </c>
      <c r="F706" s="11">
        <v>0.38190006055249592</v>
      </c>
      <c r="G706" s="11">
        <v>6.3933084439339094</v>
      </c>
      <c r="H706" s="29">
        <v>7.34169155606609</v>
      </c>
    </row>
    <row r="707" spans="1:8" ht="14.5" thickBot="1">
      <c r="A707" s="285" t="s">
        <v>275</v>
      </c>
      <c r="B707" s="265" t="s">
        <v>5</v>
      </c>
      <c r="C707" s="10" t="s">
        <v>15</v>
      </c>
      <c r="D707" s="10" t="s">
        <v>16</v>
      </c>
      <c r="E707" s="12">
        <v>5789.0203124999998</v>
      </c>
      <c r="F707" s="12">
        <v>6.7712865808832241</v>
      </c>
      <c r="G707" s="12">
        <v>5780.6126497315954</v>
      </c>
      <c r="H707" s="28">
        <v>5797.4279752684042</v>
      </c>
    </row>
    <row r="708" spans="1:8" ht="14.5" thickBot="1">
      <c r="A708" s="285" t="s">
        <v>276</v>
      </c>
      <c r="B708" s="265" t="s">
        <v>5</v>
      </c>
      <c r="C708" s="297" t="s">
        <v>17</v>
      </c>
      <c r="D708" s="297" t="s">
        <v>16</v>
      </c>
      <c r="E708" s="298">
        <v>5789.9108993406207</v>
      </c>
      <c r="F708" s="298">
        <v>0.19967317191904332</v>
      </c>
      <c r="G708" s="298">
        <v>5789.6629723516589</v>
      </c>
      <c r="H708" s="299">
        <v>5790.1588263295826</v>
      </c>
    </row>
    <row r="709" spans="1:8" ht="14.5" thickBot="1">
      <c r="A709" s="285" t="s">
        <v>277</v>
      </c>
      <c r="B709" s="265" t="s">
        <v>5</v>
      </c>
      <c r="C709" s="10" t="s">
        <v>18</v>
      </c>
      <c r="D709" s="10" t="s">
        <v>16</v>
      </c>
      <c r="E709" s="12">
        <v>5799.0718749999996</v>
      </c>
      <c r="F709" s="12">
        <v>3.1212191483726306</v>
      </c>
      <c r="G709" s="12">
        <v>5795.1963695532377</v>
      </c>
      <c r="H709" s="28">
        <v>5802.9473804467616</v>
      </c>
    </row>
    <row r="710" spans="1:8" ht="14.5" thickBot="1">
      <c r="A710" s="285" t="s">
        <v>278</v>
      </c>
      <c r="B710" s="265" t="s">
        <v>5</v>
      </c>
      <c r="C710" s="9" t="s">
        <v>19</v>
      </c>
      <c r="D710" s="9" t="s">
        <v>16</v>
      </c>
      <c r="E710" s="11">
        <v>3.2026756564098831</v>
      </c>
      <c r="F710" s="11">
        <v>1.7905144384906646</v>
      </c>
      <c r="G710" s="11">
        <v>0.97945834003037824</v>
      </c>
      <c r="H710" s="29">
        <v>5.4258929727893879</v>
      </c>
    </row>
    <row r="711" spans="1:8" ht="14.5" thickBot="1">
      <c r="A711" s="285" t="s">
        <v>279</v>
      </c>
      <c r="B711" s="265" t="s">
        <v>5</v>
      </c>
      <c r="C711" s="10" t="s">
        <v>20</v>
      </c>
      <c r="D711" s="10" t="s">
        <v>16</v>
      </c>
      <c r="E711" s="12">
        <v>10.051562499999999</v>
      </c>
      <c r="F711" s="12">
        <v>6.1807944597607021</v>
      </c>
      <c r="G711" s="12">
        <v>2.377092539564579</v>
      </c>
      <c r="H711" s="28">
        <v>17.72603246043542</v>
      </c>
    </row>
    <row r="712" spans="1:8" ht="14.5" thickBot="1">
      <c r="A712" s="285" t="s">
        <v>280</v>
      </c>
      <c r="B712" s="265" t="s">
        <v>5</v>
      </c>
      <c r="C712" s="9" t="s">
        <v>21</v>
      </c>
      <c r="D712" s="9" t="s">
        <v>16</v>
      </c>
      <c r="E712" s="11">
        <v>2717.1695312500001</v>
      </c>
      <c r="F712" s="11">
        <v>5.3665631459994954</v>
      </c>
      <c r="G712" s="11">
        <v>2710.5060629980003</v>
      </c>
      <c r="H712" s="29">
        <v>2723.8329995019999</v>
      </c>
    </row>
    <row r="713" spans="1:8" ht="14.5" thickBot="1">
      <c r="A713" s="285" t="s">
        <v>281</v>
      </c>
      <c r="B713" s="265" t="s">
        <v>5</v>
      </c>
      <c r="C713" s="282" t="s">
        <v>22</v>
      </c>
      <c r="D713" s="282" t="s">
        <v>16</v>
      </c>
      <c r="E713" s="283">
        <v>3243.5192141698508</v>
      </c>
      <c r="F713" s="283">
        <v>5.3871980031017097</v>
      </c>
      <c r="G713" s="283">
        <v>3236.8301243586807</v>
      </c>
      <c r="H713" s="284">
        <v>3250.2083039810209</v>
      </c>
    </row>
    <row r="714" spans="1:8" ht="14.5" thickBot="1">
      <c r="A714" s="285" t="s">
        <v>282</v>
      </c>
      <c r="B714" s="265" t="s">
        <v>5</v>
      </c>
      <c r="C714" s="9" t="s">
        <v>23</v>
      </c>
      <c r="D714" s="9" t="s">
        <v>16</v>
      </c>
      <c r="E714" s="11">
        <v>3249.1695312500001</v>
      </c>
      <c r="F714" s="11">
        <v>5.3665631459994954</v>
      </c>
      <c r="G714" s="11">
        <v>3242.5060629980003</v>
      </c>
      <c r="H714" s="29">
        <v>3255.8329995019999</v>
      </c>
    </row>
    <row r="715" spans="1:8" ht="14.5" thickBot="1">
      <c r="A715" s="285" t="s">
        <v>283</v>
      </c>
      <c r="B715" s="265" t="s">
        <v>5</v>
      </c>
      <c r="C715" s="10" t="s">
        <v>24</v>
      </c>
      <c r="D715" s="10" t="s">
        <v>16</v>
      </c>
      <c r="E715" s="12">
        <v>526.34968291985092</v>
      </c>
      <c r="F715" s="12">
        <v>6.4887364298400155E-2</v>
      </c>
      <c r="G715" s="12">
        <v>526.26911461566897</v>
      </c>
      <c r="H715" s="28">
        <v>526.43025122403287</v>
      </c>
    </row>
    <row r="716" spans="1:8" ht="14.5" thickBot="1">
      <c r="A716" s="285" t="s">
        <v>284</v>
      </c>
      <c r="B716" s="265" t="s">
        <v>5</v>
      </c>
      <c r="C716" s="9" t="s">
        <v>25</v>
      </c>
      <c r="D716" s="9" t="s">
        <v>16</v>
      </c>
      <c r="E716" s="11">
        <v>532</v>
      </c>
      <c r="F716" s="11">
        <v>0</v>
      </c>
      <c r="G716" s="11">
        <v>532</v>
      </c>
      <c r="H716" s="29">
        <v>532</v>
      </c>
    </row>
    <row r="717" spans="1:8" ht="14.5" thickBot="1">
      <c r="A717" s="285" t="s">
        <v>285</v>
      </c>
      <c r="B717" s="265" t="s">
        <v>5</v>
      </c>
      <c r="C717" s="10" t="s">
        <v>26</v>
      </c>
      <c r="D717" s="10" t="s">
        <v>13</v>
      </c>
      <c r="E717" s="12">
        <v>40.181748537315883</v>
      </c>
      <c r="F717" s="12">
        <v>0.48843346642320545</v>
      </c>
      <c r="G717" s="12">
        <v>39.575278286583526</v>
      </c>
      <c r="H717" s="28">
        <v>40.788218788048241</v>
      </c>
    </row>
    <row r="718" spans="1:8" ht="14.5" thickBot="1">
      <c r="A718" s="285" t="s">
        <v>286</v>
      </c>
      <c r="B718" s="265" t="s">
        <v>5</v>
      </c>
      <c r="C718" s="9" t="s">
        <v>27</v>
      </c>
      <c r="D718" s="9" t="s">
        <v>13</v>
      </c>
      <c r="E718" s="11">
        <v>96</v>
      </c>
      <c r="F718" s="11">
        <v>7.8421935706790613</v>
      </c>
      <c r="G718" s="11">
        <v>86.262630577036475</v>
      </c>
      <c r="H718" s="29">
        <v>105.73736942296352</v>
      </c>
    </row>
    <row r="719" spans="1:8" ht="14.5" thickBot="1">
      <c r="A719" s="285" t="s">
        <v>287</v>
      </c>
      <c r="B719" s="265" t="s">
        <v>5</v>
      </c>
      <c r="C719" s="10" t="s">
        <v>28</v>
      </c>
      <c r="D719" s="10" t="s">
        <v>29</v>
      </c>
      <c r="E719" s="12">
        <v>33.80766764987748</v>
      </c>
      <c r="F719" s="12">
        <v>1.143441127787701</v>
      </c>
      <c r="G719" s="12">
        <v>32.387897967539125</v>
      </c>
      <c r="H719" s="28">
        <v>35.227437332215835</v>
      </c>
    </row>
    <row r="720" spans="1:8" ht="14.5" thickBot="1">
      <c r="A720" s="285" t="s">
        <v>288</v>
      </c>
      <c r="B720" s="265" t="s">
        <v>5</v>
      </c>
      <c r="C720" s="9" t="s">
        <v>30</v>
      </c>
      <c r="D720" s="9" t="s">
        <v>29</v>
      </c>
      <c r="E720" s="11">
        <v>90.843199999999996</v>
      </c>
      <c r="F720" s="11">
        <v>6.2086722574154267</v>
      </c>
      <c r="G720" s="11">
        <v>83.134115181869959</v>
      </c>
      <c r="H720" s="29">
        <v>98.552284818130033</v>
      </c>
    </row>
    <row r="721" spans="1:8" ht="14.5" thickBot="1">
      <c r="A721" s="285" t="s">
        <v>289</v>
      </c>
      <c r="B721" s="265" t="s">
        <v>5</v>
      </c>
      <c r="C721" s="36" t="s">
        <v>31</v>
      </c>
      <c r="D721" s="36" t="s">
        <v>32</v>
      </c>
      <c r="E721" s="37">
        <v>0.29594992065060716</v>
      </c>
      <c r="F721" s="37">
        <v>9.6675467990820149E-3</v>
      </c>
      <c r="G721" s="37">
        <v>0.28394607584009213</v>
      </c>
      <c r="H721" s="38">
        <v>0.30795376546112219</v>
      </c>
    </row>
    <row r="722" spans="1:8" ht="14.5" thickBot="1">
      <c r="A722" s="285" t="s">
        <v>82</v>
      </c>
      <c r="B722" s="264" t="s">
        <v>2</v>
      </c>
      <c r="C722" s="15" t="s">
        <v>6</v>
      </c>
      <c r="D722" s="15" t="s">
        <v>7</v>
      </c>
      <c r="E722" s="16">
        <v>187.95412047999852</v>
      </c>
      <c r="F722" s="16">
        <v>2.3047979401978118</v>
      </c>
      <c r="G722" s="16">
        <v>185.09233585472458</v>
      </c>
      <c r="H722" s="59">
        <v>190.81590510527246</v>
      </c>
    </row>
    <row r="723" spans="1:8" ht="14.5" thickBot="1">
      <c r="A723" s="285" t="s">
        <v>82</v>
      </c>
      <c r="B723" s="264" t="s">
        <v>2</v>
      </c>
      <c r="C723" s="10" t="s">
        <v>8</v>
      </c>
      <c r="D723" s="10" t="s">
        <v>9</v>
      </c>
      <c r="E723" s="12">
        <v>10.44189558222214</v>
      </c>
      <c r="F723" s="12">
        <v>0.12804433001098919</v>
      </c>
      <c r="G723" s="12">
        <v>10.282907547484699</v>
      </c>
      <c r="H723" s="28">
        <v>10.60088361695958</v>
      </c>
    </row>
    <row r="724" spans="1:8" ht="14.5" thickBot="1">
      <c r="A724" s="285" t="s">
        <v>82</v>
      </c>
      <c r="B724" s="264" t="s">
        <v>2</v>
      </c>
      <c r="C724" s="9" t="s">
        <v>10</v>
      </c>
      <c r="D724" s="9" t="s">
        <v>11</v>
      </c>
      <c r="E724" s="11">
        <v>95.779536506686526</v>
      </c>
      <c r="F724" s="11">
        <v>1.1706938483597167</v>
      </c>
      <c r="G724" s="11">
        <v>94.325928102363207</v>
      </c>
      <c r="H724" s="29">
        <v>97.233144911009845</v>
      </c>
    </row>
    <row r="725" spans="1:8" ht="14.5" thickBot="1">
      <c r="A725" s="285" t="s">
        <v>82</v>
      </c>
      <c r="B725" s="264" t="s">
        <v>2</v>
      </c>
      <c r="C725" s="291" t="s">
        <v>12</v>
      </c>
      <c r="D725" s="291" t="s">
        <v>13</v>
      </c>
      <c r="E725" s="292">
        <v>2.9925068190166808</v>
      </c>
      <c r="F725" s="292">
        <v>3.9770132235047481E-2</v>
      </c>
      <c r="G725" s="292">
        <v>2.9431256776201371</v>
      </c>
      <c r="H725" s="293">
        <v>3.0418879604132245</v>
      </c>
    </row>
    <row r="726" spans="1:8" ht="14.5" thickBot="1">
      <c r="A726" s="285" t="s">
        <v>82</v>
      </c>
      <c r="B726" s="264" t="s">
        <v>2</v>
      </c>
      <c r="C726" s="9" t="s">
        <v>14</v>
      </c>
      <c r="D726" s="9" t="s">
        <v>13</v>
      </c>
      <c r="E726" s="11">
        <v>10.69125</v>
      </c>
      <c r="F726" s="11">
        <v>1.5027585312101872</v>
      </c>
      <c r="G726" s="11">
        <v>8.8253288339356715</v>
      </c>
      <c r="H726" s="29">
        <v>12.557171166064329</v>
      </c>
    </row>
    <row r="727" spans="1:8" ht="14.5" thickBot="1">
      <c r="A727" s="285" t="s">
        <v>82</v>
      </c>
      <c r="B727" s="264" t="s">
        <v>2</v>
      </c>
      <c r="C727" s="10" t="s">
        <v>15</v>
      </c>
      <c r="D727" s="10" t="s">
        <v>16</v>
      </c>
      <c r="E727" s="12">
        <v>4805.5265625000002</v>
      </c>
      <c r="F727" s="12">
        <v>2.4032953526868255</v>
      </c>
      <c r="G727" s="12">
        <v>4802.5424771837315</v>
      </c>
      <c r="H727" s="28">
        <v>4808.5106478162688</v>
      </c>
    </row>
    <row r="728" spans="1:8" ht="14.5" thickBot="1">
      <c r="A728" s="285" t="s">
        <v>82</v>
      </c>
      <c r="B728" s="264" t="s">
        <v>2</v>
      </c>
      <c r="C728" s="297" t="s">
        <v>17</v>
      </c>
      <c r="D728" s="297" t="s">
        <v>16</v>
      </c>
      <c r="E728" s="298">
        <v>4622.8997247388852</v>
      </c>
      <c r="F728" s="298">
        <v>407.21242395312322</v>
      </c>
      <c r="G728" s="298">
        <v>4117.2787183310247</v>
      </c>
      <c r="H728" s="299">
        <v>5128.5207311467457</v>
      </c>
    </row>
    <row r="729" spans="1:8" ht="14.5" thickBot="1">
      <c r="A729" s="285" t="s">
        <v>82</v>
      </c>
      <c r="B729" s="264" t="s">
        <v>2</v>
      </c>
      <c r="C729" s="10" t="s">
        <v>18</v>
      </c>
      <c r="D729" s="10" t="s">
        <v>16</v>
      </c>
      <c r="E729" s="12">
        <v>4810.04296875</v>
      </c>
      <c r="F729" s="12">
        <v>2.9633161104758075</v>
      </c>
      <c r="G729" s="12">
        <v>4806.3635258205868</v>
      </c>
      <c r="H729" s="28">
        <v>4813.7224116794132</v>
      </c>
    </row>
    <row r="730" spans="1:8" ht="14.5" thickBot="1">
      <c r="A730" s="285" t="s">
        <v>82</v>
      </c>
      <c r="B730" s="264" t="s">
        <v>2</v>
      </c>
      <c r="C730" s="9" t="s">
        <v>19</v>
      </c>
      <c r="D730" s="9" t="s">
        <v>16</v>
      </c>
      <c r="E730" s="11">
        <v>0.19618286504155549</v>
      </c>
      <c r="F730" s="11">
        <v>0.20022768781105532</v>
      </c>
      <c r="G730" s="11">
        <v>-5.2432646339303252E-2</v>
      </c>
      <c r="H730" s="29">
        <v>0.44479837642241427</v>
      </c>
    </row>
    <row r="731" spans="1:8" ht="14.5" thickBot="1">
      <c r="A731" s="285" t="s">
        <v>82</v>
      </c>
      <c r="B731" s="264" t="s">
        <v>2</v>
      </c>
      <c r="C731" s="10" t="s">
        <v>20</v>
      </c>
      <c r="D731" s="10" t="s">
        <v>16</v>
      </c>
      <c r="E731" s="12">
        <v>4.5164062500000002</v>
      </c>
      <c r="F731" s="12">
        <v>0.98338786690570057</v>
      </c>
      <c r="G731" s="12">
        <v>3.2953689394797836</v>
      </c>
      <c r="H731" s="28">
        <v>5.7374435605202168</v>
      </c>
    </row>
    <row r="732" spans="1:8" ht="14.5" thickBot="1">
      <c r="A732" s="285" t="s">
        <v>82</v>
      </c>
      <c r="B732" s="264" t="s">
        <v>2</v>
      </c>
      <c r="C732" s="9" t="s">
        <v>21</v>
      </c>
      <c r="D732" s="9" t="s">
        <v>16</v>
      </c>
      <c r="E732" s="11">
        <v>7064.9820312499996</v>
      </c>
      <c r="F732" s="11">
        <v>383.70926493896388</v>
      </c>
      <c r="G732" s="11">
        <v>6588.5440512320001</v>
      </c>
      <c r="H732" s="29">
        <v>7541.4200112679991</v>
      </c>
    </row>
    <row r="733" spans="1:8" ht="14.5" thickBot="1">
      <c r="A733" s="285" t="s">
        <v>82</v>
      </c>
      <c r="B733" s="264" t="s">
        <v>2</v>
      </c>
      <c r="C733" s="282" t="s">
        <v>22</v>
      </c>
      <c r="D733" s="282" t="s">
        <v>16</v>
      </c>
      <c r="E733" s="283">
        <v>7233.1971424759913</v>
      </c>
      <c r="F733" s="283">
        <v>12.031747800108985</v>
      </c>
      <c r="G733" s="283">
        <v>7218.2577543981934</v>
      </c>
      <c r="H733" s="284">
        <v>7248.1365305537893</v>
      </c>
    </row>
    <row r="734" spans="1:8" ht="14.5" thickBot="1">
      <c r="A734" s="285" t="s">
        <v>82</v>
      </c>
      <c r="B734" s="264" t="s">
        <v>2</v>
      </c>
      <c r="C734" s="9" t="s">
        <v>23</v>
      </c>
      <c r="D734" s="9" t="s">
        <v>16</v>
      </c>
      <c r="E734" s="11">
        <v>7238.5843750000004</v>
      </c>
      <c r="F734" s="11">
        <v>5.2407843222651322E-3</v>
      </c>
      <c r="G734" s="11">
        <v>7238.5778677067856</v>
      </c>
      <c r="H734" s="29">
        <v>7238.5908822932151</v>
      </c>
    </row>
    <row r="735" spans="1:8" ht="14.5" thickBot="1">
      <c r="A735" s="285" t="s">
        <v>82</v>
      </c>
      <c r="B735" s="264" t="s">
        <v>2</v>
      </c>
      <c r="C735" s="10" t="s">
        <v>24</v>
      </c>
      <c r="D735" s="10" t="s">
        <v>16</v>
      </c>
      <c r="E735" s="12">
        <v>168.21511122599151</v>
      </c>
      <c r="F735" s="12">
        <v>371.67751755313571</v>
      </c>
      <c r="G735" s="12">
        <v>-293.28348122860763</v>
      </c>
      <c r="H735" s="28">
        <v>629.7137036805907</v>
      </c>
    </row>
    <row r="736" spans="1:8" ht="14.5" thickBot="1">
      <c r="A736" s="285" t="s">
        <v>82</v>
      </c>
      <c r="B736" s="264" t="s">
        <v>2</v>
      </c>
      <c r="C736" s="9" t="s">
        <v>25</v>
      </c>
      <c r="D736" s="9" t="s">
        <v>16</v>
      </c>
      <c r="E736" s="11">
        <v>173.60234374999999</v>
      </c>
      <c r="F736" s="11">
        <v>383.70795477643645</v>
      </c>
      <c r="G736" s="11">
        <v>-302.83400948635796</v>
      </c>
      <c r="H736" s="29">
        <v>650.03869698635799</v>
      </c>
    </row>
    <row r="737" spans="1:8" ht="14.5" thickBot="1">
      <c r="A737" s="285" t="s">
        <v>82</v>
      </c>
      <c r="B737" s="264" t="s">
        <v>2</v>
      </c>
      <c r="C737" s="10" t="s">
        <v>26</v>
      </c>
      <c r="D737" s="10" t="s">
        <v>13</v>
      </c>
      <c r="E737" s="12">
        <v>99.702250368609711</v>
      </c>
      <c r="F737" s="12">
        <v>9.5967225673016077E-2</v>
      </c>
      <c r="G737" s="12">
        <v>99.583091319492524</v>
      </c>
      <c r="H737" s="28">
        <v>99.821409417726898</v>
      </c>
    </row>
    <row r="738" spans="1:8" ht="14.5" thickBot="1">
      <c r="A738" s="285" t="s">
        <v>82</v>
      </c>
      <c r="B738" s="264" t="s">
        <v>2</v>
      </c>
      <c r="C738" s="9" t="s">
        <v>27</v>
      </c>
      <c r="D738" s="9" t="s">
        <v>13</v>
      </c>
      <c r="E738" s="11">
        <v>100</v>
      </c>
      <c r="F738" s="11">
        <v>0</v>
      </c>
      <c r="G738" s="11">
        <v>100</v>
      </c>
      <c r="H738" s="29">
        <v>100</v>
      </c>
    </row>
    <row r="739" spans="1:8" ht="14.5" thickBot="1">
      <c r="A739" s="285" t="s">
        <v>82</v>
      </c>
      <c r="B739" s="264" t="s">
        <v>2</v>
      </c>
      <c r="C739" s="10" t="s">
        <v>28</v>
      </c>
      <c r="D739" s="10" t="s">
        <v>29</v>
      </c>
      <c r="E739" s="12">
        <v>51.6174012731502</v>
      </c>
      <c r="F739" s="12">
        <v>0.67559686737705293</v>
      </c>
      <c r="G739" s="12">
        <v>50.77853696568863</v>
      </c>
      <c r="H739" s="28">
        <v>52.45626558061177</v>
      </c>
    </row>
    <row r="740" spans="1:8" ht="14.5" thickBot="1">
      <c r="A740" s="285" t="s">
        <v>82</v>
      </c>
      <c r="B740" s="264" t="s">
        <v>2</v>
      </c>
      <c r="C740" s="9" t="s">
        <v>30</v>
      </c>
      <c r="D740" s="9" t="s">
        <v>29</v>
      </c>
      <c r="E740" s="11">
        <v>62.891399999999997</v>
      </c>
      <c r="F740" s="11">
        <v>4.8790545498077798</v>
      </c>
      <c r="G740" s="11">
        <v>56.833253620662987</v>
      </c>
      <c r="H740" s="29">
        <v>68.949546379337008</v>
      </c>
    </row>
    <row r="741" spans="1:8" ht="14.5" thickBot="1">
      <c r="A741" s="285" t="s">
        <v>82</v>
      </c>
      <c r="B741" s="264" t="s">
        <v>2</v>
      </c>
      <c r="C741" s="36" t="s">
        <v>31</v>
      </c>
      <c r="D741" s="36" t="s">
        <v>32</v>
      </c>
      <c r="E741" s="37">
        <v>2.696700815555753</v>
      </c>
      <c r="F741" s="37">
        <v>1.0806329546845133E-2</v>
      </c>
      <c r="G741" s="37">
        <v>2.6832829852056657</v>
      </c>
      <c r="H741" s="38">
        <v>2.7101186459058404</v>
      </c>
    </row>
    <row r="742" spans="1:8" ht="14.5" thickBot="1">
      <c r="A742" s="285" t="s">
        <v>82</v>
      </c>
      <c r="B742" s="265" t="s">
        <v>3</v>
      </c>
      <c r="C742" s="15" t="s">
        <v>6</v>
      </c>
      <c r="D742" s="15" t="s">
        <v>7</v>
      </c>
      <c r="E742" s="16">
        <v>65.34909984000042</v>
      </c>
      <c r="F742" s="16">
        <v>1.085560227146281</v>
      </c>
      <c r="G742" s="16">
        <v>64.001198788167002</v>
      </c>
      <c r="H742" s="59">
        <v>66.697000891833838</v>
      </c>
    </row>
    <row r="743" spans="1:8" ht="14.5" thickBot="1">
      <c r="A743" s="285" t="s">
        <v>82</v>
      </c>
      <c r="B743" s="265" t="s">
        <v>87</v>
      </c>
      <c r="C743" s="10" t="s">
        <v>8</v>
      </c>
      <c r="D743" s="10" t="s">
        <v>9</v>
      </c>
      <c r="E743" s="12">
        <v>10.962774675390104</v>
      </c>
      <c r="F743" s="12">
        <v>0.18211042226913018</v>
      </c>
      <c r="G743" s="12">
        <v>10.736654720376949</v>
      </c>
      <c r="H743" s="28">
        <v>11.18889463040326</v>
      </c>
    </row>
    <row r="744" spans="1:8" ht="14.5" thickBot="1">
      <c r="A744" s="285" t="s">
        <v>82</v>
      </c>
      <c r="B744" s="265" t="s">
        <v>88</v>
      </c>
      <c r="C744" s="9" t="s">
        <v>10</v>
      </c>
      <c r="D744" s="9" t="s">
        <v>11</v>
      </c>
      <c r="E744" s="11">
        <v>91.238087913276104</v>
      </c>
      <c r="F744" s="11">
        <v>1.5280463984108732</v>
      </c>
      <c r="G744" s="11">
        <v>89.340767712919558</v>
      </c>
      <c r="H744" s="29">
        <v>93.13540811363265</v>
      </c>
    </row>
    <row r="745" spans="1:8" ht="14.5" thickBot="1">
      <c r="A745" s="285" t="s">
        <v>82</v>
      </c>
      <c r="B745" s="265" t="s">
        <v>89</v>
      </c>
      <c r="C745" s="291" t="s">
        <v>12</v>
      </c>
      <c r="D745" s="291" t="s">
        <v>13</v>
      </c>
      <c r="E745" s="292">
        <v>2.8592532719914239</v>
      </c>
      <c r="F745" s="292">
        <v>5.4456167441330403E-2</v>
      </c>
      <c r="G745" s="292">
        <v>2.7916370094041847</v>
      </c>
      <c r="H745" s="293">
        <v>2.9268695345786631</v>
      </c>
    </row>
    <row r="746" spans="1:8" ht="14.5" thickBot="1">
      <c r="A746" s="285" t="s">
        <v>82</v>
      </c>
      <c r="B746" s="265" t="s">
        <v>90</v>
      </c>
      <c r="C746" s="9" t="s">
        <v>14</v>
      </c>
      <c r="D746" s="9" t="s">
        <v>13</v>
      </c>
      <c r="E746" s="11">
        <v>10.164375</v>
      </c>
      <c r="F746" s="11">
        <v>1.3101030941065288</v>
      </c>
      <c r="G746" s="11">
        <v>8.5376671542284512</v>
      </c>
      <c r="H746" s="29">
        <v>11.791082845771548</v>
      </c>
    </row>
    <row r="747" spans="1:8" ht="14.5" thickBot="1">
      <c r="A747" s="285" t="s">
        <v>82</v>
      </c>
      <c r="B747" s="265" t="s">
        <v>91</v>
      </c>
      <c r="C747" s="10" t="s">
        <v>15</v>
      </c>
      <c r="D747" s="10" t="s">
        <v>16</v>
      </c>
      <c r="E747" s="12">
        <v>2378.3296875000001</v>
      </c>
      <c r="F747" s="12">
        <v>0.54416600241433111</v>
      </c>
      <c r="G747" s="12">
        <v>2377.654016165804</v>
      </c>
      <c r="H747" s="28">
        <v>2379.0053588341962</v>
      </c>
    </row>
    <row r="748" spans="1:8" ht="14.5" thickBot="1">
      <c r="A748" s="285" t="s">
        <v>82</v>
      </c>
      <c r="B748" s="265" t="s">
        <v>92</v>
      </c>
      <c r="C748" s="297" t="s">
        <v>17</v>
      </c>
      <c r="D748" s="297" t="s">
        <v>16</v>
      </c>
      <c r="E748" s="298">
        <v>2378.6186570924447</v>
      </c>
      <c r="F748" s="298">
        <v>0.47983977408558626</v>
      </c>
      <c r="G748" s="298">
        <v>2378.0228573200989</v>
      </c>
      <c r="H748" s="299">
        <v>2379.2144568647905</v>
      </c>
    </row>
    <row r="749" spans="1:8" ht="14.5" thickBot="1">
      <c r="A749" s="285" t="s">
        <v>82</v>
      </c>
      <c r="B749" s="265" t="s">
        <v>93</v>
      </c>
      <c r="C749" s="10" t="s">
        <v>18</v>
      </c>
      <c r="D749" s="10" t="s">
        <v>16</v>
      </c>
      <c r="E749" s="12">
        <v>2383.2648437500002</v>
      </c>
      <c r="F749" s="12">
        <v>0.44673566446641577</v>
      </c>
      <c r="G749" s="12">
        <v>2382.7101481587583</v>
      </c>
      <c r="H749" s="28">
        <v>2383.819539341242</v>
      </c>
    </row>
    <row r="750" spans="1:8" ht="14.5" thickBot="1">
      <c r="A750" s="285" t="s">
        <v>82</v>
      </c>
      <c r="B750" s="265" t="s">
        <v>94</v>
      </c>
      <c r="C750" s="9" t="s">
        <v>19</v>
      </c>
      <c r="D750" s="9" t="s">
        <v>16</v>
      </c>
      <c r="E750" s="11">
        <v>0.28896959244466414</v>
      </c>
      <c r="F750" s="11">
        <v>7.4171364587164348E-2</v>
      </c>
      <c r="G750" s="11">
        <v>0.19687367934569747</v>
      </c>
      <c r="H750" s="29">
        <v>0.38106550554363083</v>
      </c>
    </row>
    <row r="751" spans="1:8" ht="14.5" thickBot="1">
      <c r="A751" s="285" t="s">
        <v>82</v>
      </c>
      <c r="B751" s="265" t="s">
        <v>95</v>
      </c>
      <c r="C751" s="10" t="s">
        <v>20</v>
      </c>
      <c r="D751" s="10" t="s">
        <v>16</v>
      </c>
      <c r="E751" s="12">
        <v>4.9351562500000004</v>
      </c>
      <c r="F751" s="12">
        <v>0.10322408828535978</v>
      </c>
      <c r="G751" s="12">
        <v>4.8069866158377934</v>
      </c>
      <c r="H751" s="28">
        <v>5.0633258841622073</v>
      </c>
    </row>
    <row r="752" spans="1:8" ht="14.5" thickBot="1">
      <c r="A752" s="285" t="s">
        <v>82</v>
      </c>
      <c r="B752" s="265" t="s">
        <v>96</v>
      </c>
      <c r="C752" s="9" t="s">
        <v>21</v>
      </c>
      <c r="D752" s="9" t="s">
        <v>16</v>
      </c>
      <c r="E752" s="11">
        <v>7239.5093749999996</v>
      </c>
      <c r="F752" s="11">
        <v>334.51576943396856</v>
      </c>
      <c r="G752" s="11">
        <v>6824.1531872919995</v>
      </c>
      <c r="H752" s="29">
        <v>7654.8655627079997</v>
      </c>
    </row>
    <row r="753" spans="1:8" ht="14.5" thickBot="1">
      <c r="A753" s="285" t="s">
        <v>82</v>
      </c>
      <c r="B753" s="265" t="s">
        <v>97</v>
      </c>
      <c r="C753" s="282" t="s">
        <v>22</v>
      </c>
      <c r="D753" s="282" t="s">
        <v>16</v>
      </c>
      <c r="E753" s="283">
        <v>7377.8815889433081</v>
      </c>
      <c r="F753" s="283">
        <v>29.561306917179245</v>
      </c>
      <c r="G753" s="283">
        <v>7341.1763784070099</v>
      </c>
      <c r="H753" s="284">
        <v>7414.5867994796063</v>
      </c>
    </row>
    <row r="754" spans="1:8" ht="14.5" thickBot="1">
      <c r="A754" s="285" t="s">
        <v>82</v>
      </c>
      <c r="B754" s="265" t="s">
        <v>98</v>
      </c>
      <c r="C754" s="9" t="s">
        <v>23</v>
      </c>
      <c r="D754" s="9" t="s">
        <v>16</v>
      </c>
      <c r="E754" s="11">
        <v>7395.109375</v>
      </c>
      <c r="F754" s="11">
        <v>0</v>
      </c>
      <c r="G754" s="11">
        <v>7395.109375</v>
      </c>
      <c r="H754" s="29">
        <v>7395.109375</v>
      </c>
    </row>
    <row r="755" spans="1:8" ht="14.5" thickBot="1">
      <c r="A755" s="285" t="s">
        <v>82</v>
      </c>
      <c r="B755" s="265" t="s">
        <v>99</v>
      </c>
      <c r="C755" s="10" t="s">
        <v>24</v>
      </c>
      <c r="D755" s="10" t="s">
        <v>16</v>
      </c>
      <c r="E755" s="12">
        <v>138.37221394330845</v>
      </c>
      <c r="F755" s="12">
        <v>304.95446296412121</v>
      </c>
      <c r="G755" s="12">
        <v>-240.27876378382894</v>
      </c>
      <c r="H755" s="28">
        <v>517.02319167044584</v>
      </c>
    </row>
    <row r="756" spans="1:8" ht="14.5" thickBot="1">
      <c r="A756" s="285" t="s">
        <v>82</v>
      </c>
      <c r="B756" s="265" t="s">
        <v>100</v>
      </c>
      <c r="C756" s="9" t="s">
        <v>25</v>
      </c>
      <c r="D756" s="9" t="s">
        <v>16</v>
      </c>
      <c r="E756" s="11">
        <v>155.6</v>
      </c>
      <c r="F756" s="11">
        <v>334.51576943396856</v>
      </c>
      <c r="G756" s="11">
        <v>-259.75618770799997</v>
      </c>
      <c r="H756" s="29">
        <v>570.95618770800002</v>
      </c>
    </row>
    <row r="757" spans="1:8" ht="14.5" thickBot="1">
      <c r="A757" s="285" t="s">
        <v>82</v>
      </c>
      <c r="B757" s="265" t="s">
        <v>101</v>
      </c>
      <c r="C757" s="10" t="s">
        <v>26</v>
      </c>
      <c r="D757" s="10" t="s">
        <v>13</v>
      </c>
      <c r="E757" s="12">
        <v>99.334984386193042</v>
      </c>
      <c r="F757" s="12">
        <v>0.20304126449705556</v>
      </c>
      <c r="G757" s="12">
        <v>99.082875357935237</v>
      </c>
      <c r="H757" s="28">
        <v>99.587093414450848</v>
      </c>
    </row>
    <row r="758" spans="1:8" ht="14.5" thickBot="1">
      <c r="A758" s="285" t="s">
        <v>82</v>
      </c>
      <c r="B758" s="265" t="s">
        <v>102</v>
      </c>
      <c r="C758" s="9" t="s">
        <v>27</v>
      </c>
      <c r="D758" s="9" t="s">
        <v>13</v>
      </c>
      <c r="E758" s="11">
        <v>100</v>
      </c>
      <c r="F758" s="11">
        <v>0</v>
      </c>
      <c r="G758" s="11">
        <v>100</v>
      </c>
      <c r="H758" s="29">
        <v>100</v>
      </c>
    </row>
    <row r="759" spans="1:8" ht="14.5" thickBot="1">
      <c r="A759" s="285" t="s">
        <v>82</v>
      </c>
      <c r="B759" s="265" t="s">
        <v>103</v>
      </c>
      <c r="C759" s="10" t="s">
        <v>28</v>
      </c>
      <c r="D759" s="10" t="s">
        <v>29</v>
      </c>
      <c r="E759" s="12">
        <v>48.444390187649752</v>
      </c>
      <c r="F759" s="12">
        <v>1.200748890765402</v>
      </c>
      <c r="G759" s="12">
        <v>46.953463519209464</v>
      </c>
      <c r="H759" s="28">
        <v>49.93531685609004</v>
      </c>
    </row>
    <row r="760" spans="1:8" ht="14.5" thickBot="1">
      <c r="A760" s="285" t="s">
        <v>82</v>
      </c>
      <c r="B760" s="265" t="s">
        <v>104</v>
      </c>
      <c r="C760" s="9" t="s">
        <v>30</v>
      </c>
      <c r="D760" s="9" t="s">
        <v>29</v>
      </c>
      <c r="E760" s="11">
        <v>58.896000000000001</v>
      </c>
      <c r="F760" s="11">
        <v>4.0948337573093223</v>
      </c>
      <c r="G760" s="11">
        <v>53.811592345281781</v>
      </c>
      <c r="H760" s="29">
        <v>63.980407654718221</v>
      </c>
    </row>
    <row r="761" spans="1:8" ht="14.5" thickBot="1">
      <c r="A761" s="285" t="s">
        <v>82</v>
      </c>
      <c r="B761" s="265" t="s">
        <v>105</v>
      </c>
      <c r="C761" s="36" t="s">
        <v>31</v>
      </c>
      <c r="D761" s="36" t="s">
        <v>32</v>
      </c>
      <c r="E761" s="37">
        <v>0.8810104919184556</v>
      </c>
      <c r="F761" s="37">
        <v>7.9035795894857094E-3</v>
      </c>
      <c r="G761" s="37">
        <v>0.87119690168595221</v>
      </c>
      <c r="H761" s="38">
        <v>0.89082408215095898</v>
      </c>
    </row>
    <row r="762" spans="1:8" ht="14.5" thickBot="1">
      <c r="A762" s="285" t="s">
        <v>82</v>
      </c>
      <c r="B762" s="264" t="s">
        <v>4</v>
      </c>
      <c r="C762" s="15" t="s">
        <v>6</v>
      </c>
      <c r="D762" s="15" t="s">
        <v>7</v>
      </c>
      <c r="E762" s="16">
        <v>29.99430423999911</v>
      </c>
      <c r="F762" s="16">
        <v>0.11983982249736733</v>
      </c>
      <c r="G762" s="16">
        <v>29.845503446863599</v>
      </c>
      <c r="H762" s="59">
        <v>30.143105033134621</v>
      </c>
    </row>
    <row r="763" spans="1:8" ht="14.5" thickBot="1">
      <c r="A763" s="285" t="s">
        <v>82</v>
      </c>
      <c r="B763" s="264" t="s">
        <v>4</v>
      </c>
      <c r="C763" s="10" t="s">
        <v>8</v>
      </c>
      <c r="D763" s="10" t="s">
        <v>9</v>
      </c>
      <c r="E763" s="12">
        <v>9.9981014133330373</v>
      </c>
      <c r="F763" s="12">
        <v>3.9946607499121635E-2</v>
      </c>
      <c r="G763" s="12">
        <v>9.9485011489545343</v>
      </c>
      <c r="H763" s="28">
        <v>10.04770167771154</v>
      </c>
    </row>
    <row r="764" spans="1:8" ht="14.5" thickBot="1">
      <c r="A764" s="285" t="s">
        <v>82</v>
      </c>
      <c r="B764" s="264" t="s">
        <v>4</v>
      </c>
      <c r="C764" s="9" t="s">
        <v>10</v>
      </c>
      <c r="D764" s="9" t="s">
        <v>11</v>
      </c>
      <c r="E764" s="11">
        <v>100.02026607813829</v>
      </c>
      <c r="F764" s="11">
        <v>0.39939823965008192</v>
      </c>
      <c r="G764" s="11">
        <v>99.524347663054158</v>
      </c>
      <c r="H764" s="29">
        <v>100.51618449322243</v>
      </c>
    </row>
    <row r="765" spans="1:8" ht="14.5" thickBot="1">
      <c r="A765" s="285" t="s">
        <v>82</v>
      </c>
      <c r="B765" s="264" t="s">
        <v>4</v>
      </c>
      <c r="C765" s="291" t="s">
        <v>12</v>
      </c>
      <c r="D765" s="291" t="s">
        <v>13</v>
      </c>
      <c r="E765" s="292">
        <v>3.1080916360294117</v>
      </c>
      <c r="F765" s="292">
        <v>6.7375917823896334E-2</v>
      </c>
      <c r="G765" s="292">
        <v>3.0244333845275042</v>
      </c>
      <c r="H765" s="293">
        <v>3.1917498875313193</v>
      </c>
    </row>
    <row r="766" spans="1:8" ht="14.5" thickBot="1">
      <c r="A766" s="285" t="s">
        <v>82</v>
      </c>
      <c r="B766" s="264" t="s">
        <v>4</v>
      </c>
      <c r="C766" s="9" t="s">
        <v>14</v>
      </c>
      <c r="D766" s="9" t="s">
        <v>13</v>
      </c>
      <c r="E766" s="11">
        <v>8.4818749999999987</v>
      </c>
      <c r="F766" s="11">
        <v>0.84909016103267843</v>
      </c>
      <c r="G766" s="11">
        <v>7.4275903158917922</v>
      </c>
      <c r="H766" s="29">
        <v>9.5361596841082044</v>
      </c>
    </row>
    <row r="767" spans="1:8" ht="14.5" thickBot="1">
      <c r="A767" s="285" t="s">
        <v>82</v>
      </c>
      <c r="B767" s="264" t="s">
        <v>4</v>
      </c>
      <c r="C767" s="10" t="s">
        <v>15</v>
      </c>
      <c r="D767" s="10" t="s">
        <v>16</v>
      </c>
      <c r="E767" s="12">
        <v>6994.30859375</v>
      </c>
      <c r="F767" s="12">
        <v>75.825072853765249</v>
      </c>
      <c r="G767" s="12">
        <v>6900.1593306330096</v>
      </c>
      <c r="H767" s="28">
        <v>7088.4578568669904</v>
      </c>
    </row>
    <row r="768" spans="1:8" ht="14.5" thickBot="1">
      <c r="A768" s="285" t="s">
        <v>82</v>
      </c>
      <c r="B768" s="264" t="s">
        <v>4</v>
      </c>
      <c r="C768" s="297" t="s">
        <v>17</v>
      </c>
      <c r="D768" s="297" t="s">
        <v>16</v>
      </c>
      <c r="E768" s="298">
        <v>6981.3314741109452</v>
      </c>
      <c r="F768" s="298">
        <v>66.841702384241941</v>
      </c>
      <c r="G768" s="298">
        <v>6898.336538687694</v>
      </c>
      <c r="H768" s="299">
        <v>7064.3264095341965</v>
      </c>
    </row>
    <row r="769" spans="1:8" ht="14.5" thickBot="1">
      <c r="A769" s="285" t="s">
        <v>82</v>
      </c>
      <c r="B769" s="264" t="s">
        <v>4</v>
      </c>
      <c r="C769" s="10" t="s">
        <v>18</v>
      </c>
      <c r="D769" s="10" t="s">
        <v>16</v>
      </c>
      <c r="E769" s="12">
        <v>6997.546875</v>
      </c>
      <c r="F769" s="12">
        <v>74.486355447337786</v>
      </c>
      <c r="G769" s="12">
        <v>6905.0598490902203</v>
      </c>
      <c r="H769" s="28">
        <v>7090.0339009097797</v>
      </c>
    </row>
    <row r="770" spans="1:8" ht="14.5" thickBot="1">
      <c r="A770" s="285" t="s">
        <v>82</v>
      </c>
      <c r="B770" s="264" t="s">
        <v>4</v>
      </c>
      <c r="C770" s="9" t="s">
        <v>19</v>
      </c>
      <c r="D770" s="9" t="s">
        <v>16</v>
      </c>
      <c r="E770" s="11">
        <v>9.4358424548772746E-2</v>
      </c>
      <c r="F770" s="11">
        <v>0.13294433600826447</v>
      </c>
      <c r="G770" s="11">
        <v>-7.0713771226033839E-2</v>
      </c>
      <c r="H770" s="29">
        <v>0.25943062032357933</v>
      </c>
    </row>
    <row r="771" spans="1:8" ht="14.5" thickBot="1">
      <c r="A771" s="285" t="s">
        <v>82</v>
      </c>
      <c r="B771" s="264" t="s">
        <v>4</v>
      </c>
      <c r="C771" s="10" t="s">
        <v>20</v>
      </c>
      <c r="D771" s="10" t="s">
        <v>16</v>
      </c>
      <c r="E771" s="12">
        <v>3.23828125</v>
      </c>
      <c r="F771" s="12">
        <v>1.4630692376775205</v>
      </c>
      <c r="G771" s="12">
        <v>1.4216408508258136</v>
      </c>
      <c r="H771" s="28">
        <v>5.0549216491741866</v>
      </c>
    </row>
    <row r="772" spans="1:8" ht="14.5" thickBot="1">
      <c r="A772" s="285" t="s">
        <v>82</v>
      </c>
      <c r="B772" s="264" t="s">
        <v>4</v>
      </c>
      <c r="C772" s="9" t="s">
        <v>21</v>
      </c>
      <c r="D772" s="9" t="s">
        <v>16</v>
      </c>
      <c r="E772" s="11">
        <v>7201.3703125000002</v>
      </c>
      <c r="F772" s="11">
        <v>302.31639055797154</v>
      </c>
      <c r="G772" s="11">
        <v>6825.9949343039998</v>
      </c>
      <c r="H772" s="29">
        <v>7576.7456906960006</v>
      </c>
    </row>
    <row r="773" spans="1:8" ht="14.5" thickBot="1">
      <c r="A773" s="285" t="s">
        <v>82</v>
      </c>
      <c r="B773" s="264" t="s">
        <v>4</v>
      </c>
      <c r="C773" s="282" t="s">
        <v>22</v>
      </c>
      <c r="D773" s="282" t="s">
        <v>16</v>
      </c>
      <c r="E773" s="283">
        <v>7333.0385801147386</v>
      </c>
      <c r="F773" s="283">
        <v>12.324340295213361</v>
      </c>
      <c r="G773" s="283">
        <v>7317.7358904696503</v>
      </c>
      <c r="H773" s="284">
        <v>7348.3412697598269</v>
      </c>
    </row>
    <row r="774" spans="1:8" ht="14.5" thickBot="1">
      <c r="A774" s="285" t="s">
        <v>82</v>
      </c>
      <c r="B774" s="264" t="s">
        <v>4</v>
      </c>
      <c r="C774" s="9" t="s">
        <v>23</v>
      </c>
      <c r="D774" s="9" t="s">
        <v>16</v>
      </c>
      <c r="E774" s="11">
        <v>7342.5703125</v>
      </c>
      <c r="F774" s="11">
        <v>0</v>
      </c>
      <c r="G774" s="11">
        <v>7342.5703125</v>
      </c>
      <c r="H774" s="29">
        <v>7342.5703125</v>
      </c>
    </row>
    <row r="775" spans="1:8" ht="14.5" thickBot="1">
      <c r="A775" s="285" t="s">
        <v>82</v>
      </c>
      <c r="B775" s="264" t="s">
        <v>4</v>
      </c>
      <c r="C775" s="10" t="s">
        <v>24</v>
      </c>
      <c r="D775" s="10" t="s">
        <v>16</v>
      </c>
      <c r="E775" s="12">
        <v>131.66826761473823</v>
      </c>
      <c r="F775" s="12">
        <v>289.99205067619545</v>
      </c>
      <c r="G775" s="12">
        <v>-228.40442144952368</v>
      </c>
      <c r="H775" s="28">
        <v>491.74095667900013</v>
      </c>
    </row>
    <row r="776" spans="1:8" ht="14.5" thickBot="1">
      <c r="A776" s="285" t="s">
        <v>82</v>
      </c>
      <c r="B776" s="264" t="s">
        <v>4</v>
      </c>
      <c r="C776" s="9" t="s">
        <v>25</v>
      </c>
      <c r="D776" s="9" t="s">
        <v>16</v>
      </c>
      <c r="E776" s="11">
        <v>141.19999999999999</v>
      </c>
      <c r="F776" s="11">
        <v>302.31639055797154</v>
      </c>
      <c r="G776" s="11">
        <v>-234.175378196</v>
      </c>
      <c r="H776" s="29">
        <v>516.57537819599997</v>
      </c>
    </row>
    <row r="777" spans="1:8" ht="14.5" thickBot="1">
      <c r="A777" s="285" t="s">
        <v>82</v>
      </c>
      <c r="B777" s="264" t="s">
        <v>4</v>
      </c>
      <c r="C777" s="10" t="s">
        <v>26</v>
      </c>
      <c r="D777" s="10" t="s">
        <v>13</v>
      </c>
      <c r="E777" s="12">
        <v>98.452996131319665</v>
      </c>
      <c r="F777" s="12">
        <v>0.262918080494003</v>
      </c>
      <c r="G777" s="12">
        <v>98.126540216316684</v>
      </c>
      <c r="H777" s="28">
        <v>98.779452046322646</v>
      </c>
    </row>
    <row r="778" spans="1:8" ht="14.5" thickBot="1">
      <c r="A778" s="285" t="s">
        <v>82</v>
      </c>
      <c r="B778" s="264" t="s">
        <v>4</v>
      </c>
      <c r="C778" s="9" t="s">
        <v>27</v>
      </c>
      <c r="D778" s="9" t="s">
        <v>13</v>
      </c>
      <c r="E778" s="11">
        <v>100</v>
      </c>
      <c r="F778" s="11">
        <v>0</v>
      </c>
      <c r="G778" s="11">
        <v>100</v>
      </c>
      <c r="H778" s="29">
        <v>100</v>
      </c>
    </row>
    <row r="779" spans="1:8" ht="14.5" thickBot="1">
      <c r="A779" s="285" t="s">
        <v>82</v>
      </c>
      <c r="B779" s="264" t="s">
        <v>4</v>
      </c>
      <c r="C779" s="10" t="s">
        <v>28</v>
      </c>
      <c r="D779" s="10" t="s">
        <v>29</v>
      </c>
      <c r="E779" s="12">
        <v>51.608525416965385</v>
      </c>
      <c r="F779" s="12">
        <v>0.40426301258291231</v>
      </c>
      <c r="G779" s="12">
        <v>51.106566588471544</v>
      </c>
      <c r="H779" s="28">
        <v>52.110484245459226</v>
      </c>
    </row>
    <row r="780" spans="1:8" ht="14.5" thickBot="1">
      <c r="A780" s="285" t="s">
        <v>82</v>
      </c>
      <c r="B780" s="264" t="s">
        <v>4</v>
      </c>
      <c r="C780" s="9" t="s">
        <v>30</v>
      </c>
      <c r="D780" s="9" t="s">
        <v>29</v>
      </c>
      <c r="E780" s="11">
        <v>60.392000000000003</v>
      </c>
      <c r="F780" s="11">
        <v>2.07015192679185</v>
      </c>
      <c r="G780" s="11">
        <v>57.821566881873522</v>
      </c>
      <c r="H780" s="29">
        <v>62.962433118126484</v>
      </c>
    </row>
    <row r="781" spans="1:8" ht="14.5" thickBot="1">
      <c r="A781" s="285" t="s">
        <v>82</v>
      </c>
      <c r="B781" s="264" t="s">
        <v>4</v>
      </c>
      <c r="C781" s="36" t="s">
        <v>31</v>
      </c>
      <c r="D781" s="36" t="s">
        <v>32</v>
      </c>
      <c r="E781" s="37">
        <v>0.43204188538629196</v>
      </c>
      <c r="F781" s="37">
        <v>1.8449526679264841E-3</v>
      </c>
      <c r="G781" s="37">
        <v>0.42975107408030083</v>
      </c>
      <c r="H781" s="38">
        <v>0.43433269669228308</v>
      </c>
    </row>
    <row r="782" spans="1:8" ht="14.5" thickBot="1">
      <c r="A782" s="285" t="s">
        <v>82</v>
      </c>
      <c r="B782" s="265" t="s">
        <v>5</v>
      </c>
      <c r="C782" s="15" t="s">
        <v>6</v>
      </c>
      <c r="D782" s="15" t="s">
        <v>7</v>
      </c>
      <c r="E782" s="16">
        <v>24.973353440000029</v>
      </c>
      <c r="F782" s="16">
        <v>0.23670548632946214</v>
      </c>
      <c r="G782" s="16">
        <v>24.67944475946836</v>
      </c>
      <c r="H782" s="59">
        <v>25.267262120531697</v>
      </c>
    </row>
    <row r="783" spans="1:8" ht="14.5" thickBot="1">
      <c r="A783" s="285" t="s">
        <v>82</v>
      </c>
      <c r="B783" s="265" t="s">
        <v>5</v>
      </c>
      <c r="C783" s="10" t="s">
        <v>8</v>
      </c>
      <c r="D783" s="10" t="s">
        <v>9</v>
      </c>
      <c r="E783" s="12">
        <v>10.090243814141425</v>
      </c>
      <c r="F783" s="12">
        <v>9.5638580335136267E-2</v>
      </c>
      <c r="G783" s="12">
        <v>9.971492832108428</v>
      </c>
      <c r="H783" s="28">
        <v>10.208994796174423</v>
      </c>
    </row>
    <row r="784" spans="1:8" ht="14.5" thickBot="1">
      <c r="A784" s="285" t="s">
        <v>82</v>
      </c>
      <c r="B784" s="265" t="s">
        <v>5</v>
      </c>
      <c r="C784" s="9" t="s">
        <v>10</v>
      </c>
      <c r="D784" s="9" t="s">
        <v>11</v>
      </c>
      <c r="E784" s="11">
        <v>99.112747612462869</v>
      </c>
      <c r="F784" s="11">
        <v>0.93829610846264044</v>
      </c>
      <c r="G784" s="11">
        <v>97.947699115013108</v>
      </c>
      <c r="H784" s="29">
        <v>100.27779610991263</v>
      </c>
    </row>
    <row r="785" spans="1:8" ht="14.5" thickBot="1">
      <c r="A785" s="285" t="s">
        <v>82</v>
      </c>
      <c r="B785" s="265" t="s">
        <v>5</v>
      </c>
      <c r="C785" s="291" t="s">
        <v>12</v>
      </c>
      <c r="D785" s="291" t="s">
        <v>13</v>
      </c>
      <c r="E785" s="292">
        <v>2.9678923384405982</v>
      </c>
      <c r="F785" s="292">
        <v>0.14713779981747327</v>
      </c>
      <c r="G785" s="292">
        <v>2.7851966296453443</v>
      </c>
      <c r="H785" s="293">
        <v>3.1505880472358521</v>
      </c>
    </row>
    <row r="786" spans="1:8" ht="14.5" thickBot="1">
      <c r="A786" s="285" t="s">
        <v>82</v>
      </c>
      <c r="B786" s="265" t="s">
        <v>5</v>
      </c>
      <c r="C786" s="9" t="s">
        <v>14</v>
      </c>
      <c r="D786" s="9" t="s">
        <v>13</v>
      </c>
      <c r="E786" s="11">
        <v>8.1812500000000004</v>
      </c>
      <c r="F786" s="11">
        <v>0.78468619324861344</v>
      </c>
      <c r="G786" s="11">
        <v>7.2069334040250457</v>
      </c>
      <c r="H786" s="29">
        <v>9.155566595974955</v>
      </c>
    </row>
    <row r="787" spans="1:8" ht="14.5" thickBot="1">
      <c r="A787" s="285" t="s">
        <v>82</v>
      </c>
      <c r="B787" s="265" t="s">
        <v>5</v>
      </c>
      <c r="C787" s="10" t="s">
        <v>15</v>
      </c>
      <c r="D787" s="10" t="s">
        <v>16</v>
      </c>
      <c r="E787" s="12">
        <v>6204.48046875</v>
      </c>
      <c r="F787" s="12">
        <v>272.52575624866853</v>
      </c>
      <c r="G787" s="12">
        <v>5866.09504865688</v>
      </c>
      <c r="H787" s="28">
        <v>6542.86588884312</v>
      </c>
    </row>
    <row r="788" spans="1:8" ht="14.5" thickBot="1">
      <c r="A788" s="285" t="s">
        <v>82</v>
      </c>
      <c r="B788" s="265" t="s">
        <v>5</v>
      </c>
      <c r="C788" s="297" t="s">
        <v>17</v>
      </c>
      <c r="D788" s="297" t="s">
        <v>16</v>
      </c>
      <c r="E788" s="298">
        <v>6161.1289870286337</v>
      </c>
      <c r="F788" s="298">
        <v>250.21524544421416</v>
      </c>
      <c r="G788" s="298">
        <v>5850.4457249809675</v>
      </c>
      <c r="H788" s="299">
        <v>6471.8122490762998</v>
      </c>
    </row>
    <row r="789" spans="1:8" ht="14.5" thickBot="1">
      <c r="A789" s="285" t="s">
        <v>82</v>
      </c>
      <c r="B789" s="265" t="s">
        <v>5</v>
      </c>
      <c r="C789" s="10" t="s">
        <v>18</v>
      </c>
      <c r="D789" s="10" t="s">
        <v>16</v>
      </c>
      <c r="E789" s="12">
        <v>6207.3296874999996</v>
      </c>
      <c r="F789" s="12">
        <v>270.64922771023021</v>
      </c>
      <c r="G789" s="12">
        <v>5871.2742853344944</v>
      </c>
      <c r="H789" s="28">
        <v>6543.3850896655049</v>
      </c>
    </row>
    <row r="790" spans="1:8" ht="14.5" thickBot="1">
      <c r="A790" s="285" t="s">
        <v>82</v>
      </c>
      <c r="B790" s="265" t="s">
        <v>5</v>
      </c>
      <c r="C790" s="9" t="s">
        <v>19</v>
      </c>
      <c r="D790" s="9" t="s">
        <v>16</v>
      </c>
      <c r="E790" s="11">
        <v>0.13627945024618385</v>
      </c>
      <c r="F790" s="11">
        <v>0.21684416768279979</v>
      </c>
      <c r="G790" s="11">
        <v>-0.13296814596682768</v>
      </c>
      <c r="H790" s="29">
        <v>0.40552704645919535</v>
      </c>
    </row>
    <row r="791" spans="1:8" ht="14.5" thickBot="1">
      <c r="A791" s="285" t="s">
        <v>82</v>
      </c>
      <c r="B791" s="265" t="s">
        <v>5</v>
      </c>
      <c r="C791" s="10" t="s">
        <v>20</v>
      </c>
      <c r="D791" s="10" t="s">
        <v>16</v>
      </c>
      <c r="E791" s="12">
        <v>2.8492187499999999</v>
      </c>
      <c r="F791" s="12">
        <v>2.4844695834982815</v>
      </c>
      <c r="G791" s="12">
        <v>-0.23565768624235073</v>
      </c>
      <c r="H791" s="28">
        <v>5.9340951862423506</v>
      </c>
    </row>
    <row r="792" spans="1:8" ht="14.5" thickBot="1">
      <c r="A792" s="285" t="s">
        <v>82</v>
      </c>
      <c r="B792" s="265" t="s">
        <v>5</v>
      </c>
      <c r="C792" s="9" t="s">
        <v>21</v>
      </c>
      <c r="D792" s="9" t="s">
        <v>16</v>
      </c>
      <c r="E792" s="11">
        <v>7181.0578125000002</v>
      </c>
      <c r="F792" s="11">
        <v>342.56561415296778</v>
      </c>
      <c r="G792" s="11">
        <v>6755.7064224140004</v>
      </c>
      <c r="H792" s="29">
        <v>7606.409202586</v>
      </c>
    </row>
    <row r="793" spans="1:8" ht="14.5" thickBot="1">
      <c r="A793" s="285" t="s">
        <v>82</v>
      </c>
      <c r="B793" s="265" t="s">
        <v>5</v>
      </c>
      <c r="C793" s="282" t="s">
        <v>22</v>
      </c>
      <c r="D793" s="282" t="s">
        <v>16</v>
      </c>
      <c r="E793" s="283">
        <v>7301.3299833023957</v>
      </c>
      <c r="F793" s="283">
        <v>78.066587519896487</v>
      </c>
      <c r="G793" s="283">
        <v>7204.3975121232224</v>
      </c>
      <c r="H793" s="284">
        <v>7398.262454481569</v>
      </c>
    </row>
    <row r="794" spans="1:8" ht="14.5" thickBot="1">
      <c r="A794" s="285" t="s">
        <v>82</v>
      </c>
      <c r="B794" s="265" t="s">
        <v>5</v>
      </c>
      <c r="C794" s="9" t="s">
        <v>23</v>
      </c>
      <c r="D794" s="9" t="s">
        <v>16</v>
      </c>
      <c r="E794" s="11">
        <v>7342.2578125</v>
      </c>
      <c r="F794" s="11">
        <v>0</v>
      </c>
      <c r="G794" s="11">
        <v>7342.2578125</v>
      </c>
      <c r="H794" s="29">
        <v>7342.2578125</v>
      </c>
    </row>
    <row r="795" spans="1:8" ht="14.5" thickBot="1">
      <c r="A795" s="285" t="s">
        <v>82</v>
      </c>
      <c r="B795" s="265" t="s">
        <v>5</v>
      </c>
      <c r="C795" s="10" t="s">
        <v>24</v>
      </c>
      <c r="D795" s="10" t="s">
        <v>16</v>
      </c>
      <c r="E795" s="12">
        <v>120.27217080239606</v>
      </c>
      <c r="F795" s="12">
        <v>264.49902675140891</v>
      </c>
      <c r="G795" s="12">
        <v>-208.14674825136618</v>
      </c>
      <c r="H795" s="28">
        <v>448.69108985615833</v>
      </c>
    </row>
    <row r="796" spans="1:8" ht="14.5" thickBot="1">
      <c r="A796" s="285" t="s">
        <v>82</v>
      </c>
      <c r="B796" s="265" t="s">
        <v>5</v>
      </c>
      <c r="C796" s="9" t="s">
        <v>25</v>
      </c>
      <c r="D796" s="9" t="s">
        <v>16</v>
      </c>
      <c r="E796" s="11">
        <v>161.19999999999999</v>
      </c>
      <c r="F796" s="11">
        <v>342.56561415296778</v>
      </c>
      <c r="G796" s="11">
        <v>-264.15139008599999</v>
      </c>
      <c r="H796" s="29">
        <v>586.55139008599997</v>
      </c>
    </row>
    <row r="797" spans="1:8" ht="14.5" thickBot="1">
      <c r="A797" s="285" t="s">
        <v>82</v>
      </c>
      <c r="B797" s="265" t="s">
        <v>5</v>
      </c>
      <c r="C797" s="10" t="s">
        <v>26</v>
      </c>
      <c r="D797" s="10" t="s">
        <v>13</v>
      </c>
      <c r="E797" s="12">
        <v>98.181172718155395</v>
      </c>
      <c r="F797" s="12">
        <v>0.43301122076451776</v>
      </c>
      <c r="G797" s="12">
        <v>97.643518274552136</v>
      </c>
      <c r="H797" s="28">
        <v>98.718827161758654</v>
      </c>
    </row>
    <row r="798" spans="1:8" ht="14.5" thickBot="1">
      <c r="A798" s="285" t="s">
        <v>82</v>
      </c>
      <c r="B798" s="265" t="s">
        <v>5</v>
      </c>
      <c r="C798" s="9" t="s">
        <v>27</v>
      </c>
      <c r="D798" s="9" t="s">
        <v>13</v>
      </c>
      <c r="E798" s="11">
        <v>100</v>
      </c>
      <c r="F798" s="11">
        <v>0</v>
      </c>
      <c r="G798" s="11">
        <v>100</v>
      </c>
      <c r="H798" s="29">
        <v>100</v>
      </c>
    </row>
    <row r="799" spans="1:8" ht="14.5" thickBot="1">
      <c r="A799" s="285" t="s">
        <v>82</v>
      </c>
      <c r="B799" s="265" t="s">
        <v>5</v>
      </c>
      <c r="C799" s="10" t="s">
        <v>28</v>
      </c>
      <c r="D799" s="10" t="s">
        <v>29</v>
      </c>
      <c r="E799" s="12">
        <v>50.973584998097941</v>
      </c>
      <c r="F799" s="12">
        <v>0.71216109372850422</v>
      </c>
      <c r="G799" s="12">
        <v>50.089320207156838</v>
      </c>
      <c r="H799" s="28">
        <v>51.857849789039044</v>
      </c>
    </row>
    <row r="800" spans="1:8" ht="14.5" thickBot="1">
      <c r="A800" s="285" t="s">
        <v>82</v>
      </c>
      <c r="B800" s="265" t="s">
        <v>5</v>
      </c>
      <c r="C800" s="9" t="s">
        <v>30</v>
      </c>
      <c r="D800" s="9" t="s">
        <v>29</v>
      </c>
      <c r="E800" s="11">
        <v>60.806000000000004</v>
      </c>
      <c r="F800" s="11">
        <v>4.8473308119005027</v>
      </c>
      <c r="G800" s="11">
        <v>54.787243843908101</v>
      </c>
      <c r="H800" s="29">
        <v>66.824756156091908</v>
      </c>
    </row>
    <row r="801" spans="1:8" ht="14.5" thickBot="1">
      <c r="A801" s="285" t="s">
        <v>82</v>
      </c>
      <c r="B801" s="265" t="s">
        <v>5</v>
      </c>
      <c r="C801" s="36" t="s">
        <v>31</v>
      </c>
      <c r="D801" s="36" t="s">
        <v>32</v>
      </c>
      <c r="E801" s="37">
        <v>0.35566155321865833</v>
      </c>
      <c r="F801" s="37">
        <v>2.0655375738146374E-3</v>
      </c>
      <c r="G801" s="37">
        <v>0.35309684957649828</v>
      </c>
      <c r="H801" s="38">
        <v>0.35822625686081838</v>
      </c>
    </row>
    <row r="802" spans="1:8" ht="14.5" thickBot="1">
      <c r="A802" s="285" t="s">
        <v>85</v>
      </c>
      <c r="B802" s="264" t="s">
        <v>2</v>
      </c>
      <c r="C802" s="15" t="s">
        <v>6</v>
      </c>
      <c r="D802" s="15" t="s">
        <v>7</v>
      </c>
      <c r="E802" s="16">
        <v>210.80774645999955</v>
      </c>
      <c r="F802" s="16">
        <v>21.904151730285918</v>
      </c>
      <c r="G802" s="16">
        <v>183.61014984724838</v>
      </c>
      <c r="H802" s="59">
        <v>238.00534307275072</v>
      </c>
    </row>
    <row r="803" spans="1:8" ht="14.5" thickBot="1">
      <c r="A803" s="285" t="s">
        <v>132</v>
      </c>
      <c r="B803" s="264" t="s">
        <v>2</v>
      </c>
      <c r="C803" s="10" t="s">
        <v>8</v>
      </c>
      <c r="D803" s="10" t="s">
        <v>9</v>
      </c>
      <c r="E803" s="12">
        <v>11.711541469999975</v>
      </c>
      <c r="F803" s="12">
        <v>1.2168973183492175</v>
      </c>
      <c r="G803" s="12">
        <v>10.200563880402688</v>
      </c>
      <c r="H803" s="28">
        <v>13.222519059597262</v>
      </c>
    </row>
    <row r="804" spans="1:8" ht="14.5" thickBot="1">
      <c r="A804" s="285" t="s">
        <v>133</v>
      </c>
      <c r="B804" s="264" t="s">
        <v>2</v>
      </c>
      <c r="C804" s="9" t="s">
        <v>10</v>
      </c>
      <c r="D804" s="9" t="s">
        <v>11</v>
      </c>
      <c r="E804" s="11">
        <v>86.129983376024668</v>
      </c>
      <c r="F804" s="11">
        <v>8.9833501546201955</v>
      </c>
      <c r="G804" s="11">
        <v>74.975680906569181</v>
      </c>
      <c r="H804" s="29">
        <v>97.284285845480156</v>
      </c>
    </row>
    <row r="805" spans="1:8" ht="14.5" thickBot="1">
      <c r="A805" s="285" t="s">
        <v>134</v>
      </c>
      <c r="B805" s="264" t="s">
        <v>2</v>
      </c>
      <c r="C805" s="291" t="s">
        <v>12</v>
      </c>
      <c r="D805" s="291" t="s">
        <v>13</v>
      </c>
      <c r="E805" s="292">
        <v>2.5725652528737353</v>
      </c>
      <c r="F805" s="292">
        <v>4.3576806255959319E-2</v>
      </c>
      <c r="G805" s="292">
        <v>2.5184575013928647</v>
      </c>
      <c r="H805" s="293">
        <v>2.6266730043546058</v>
      </c>
    </row>
    <row r="806" spans="1:8" ht="14.5" thickBot="1">
      <c r="A806" s="285" t="s">
        <v>135</v>
      </c>
      <c r="B806" s="264" t="s">
        <v>2</v>
      </c>
      <c r="C806" s="9" t="s">
        <v>14</v>
      </c>
      <c r="D806" s="9" t="s">
        <v>13</v>
      </c>
      <c r="E806" s="11">
        <v>6.4706250000000001</v>
      </c>
      <c r="F806" s="11">
        <v>0.73296606866382286</v>
      </c>
      <c r="G806" s="11">
        <v>5.5605274207000184</v>
      </c>
      <c r="H806" s="29">
        <v>7.3807225792999818</v>
      </c>
    </row>
    <row r="807" spans="1:8" ht="14.5" thickBot="1">
      <c r="A807" s="285" t="s">
        <v>136</v>
      </c>
      <c r="B807" s="264" t="s">
        <v>2</v>
      </c>
      <c r="C807" s="10" t="s">
        <v>15</v>
      </c>
      <c r="D807" s="10" t="s">
        <v>16</v>
      </c>
      <c r="E807" s="12">
        <v>5089.4898437499996</v>
      </c>
      <c r="F807" s="12">
        <v>313.87490251145391</v>
      </c>
      <c r="G807" s="12">
        <v>4699.7626773895754</v>
      </c>
      <c r="H807" s="28">
        <v>5479.2170101104239</v>
      </c>
    </row>
    <row r="808" spans="1:8" ht="14.5" thickBot="1">
      <c r="A808" s="285" t="s">
        <v>137</v>
      </c>
      <c r="B808" s="264" t="s">
        <v>2</v>
      </c>
      <c r="C808" s="297" t="s">
        <v>17</v>
      </c>
      <c r="D808" s="297" t="s">
        <v>16</v>
      </c>
      <c r="E808" s="298">
        <v>5075.5085392256597</v>
      </c>
      <c r="F808" s="298">
        <v>307.39725644000976</v>
      </c>
      <c r="G808" s="298">
        <v>4693.8244327846805</v>
      </c>
      <c r="H808" s="299">
        <v>5457.1926456666388</v>
      </c>
    </row>
    <row r="809" spans="1:8" ht="14.5" thickBot="1">
      <c r="A809" s="285" t="s">
        <v>138</v>
      </c>
      <c r="B809" s="264" t="s">
        <v>2</v>
      </c>
      <c r="C809" s="10" t="s">
        <v>18</v>
      </c>
      <c r="D809" s="10" t="s">
        <v>16</v>
      </c>
      <c r="E809" s="12">
        <v>5096.6000000000004</v>
      </c>
      <c r="F809" s="12">
        <v>315.31387151081486</v>
      </c>
      <c r="G809" s="12">
        <v>4705.0861176386652</v>
      </c>
      <c r="H809" s="28">
        <v>5488.1138823613355</v>
      </c>
    </row>
    <row r="810" spans="1:8" ht="14.5" thickBot="1">
      <c r="A810" s="285" t="s">
        <v>139</v>
      </c>
      <c r="B810" s="264" t="s">
        <v>2</v>
      </c>
      <c r="C810" s="9" t="s">
        <v>19</v>
      </c>
      <c r="D810" s="9" t="s">
        <v>16</v>
      </c>
      <c r="E810" s="11">
        <v>2.2071947056358114</v>
      </c>
      <c r="F810" s="11">
        <v>4.3705156492643056</v>
      </c>
      <c r="G810" s="11">
        <v>-3.2195172292552279</v>
      </c>
      <c r="H810" s="29">
        <v>7.6339066405268508</v>
      </c>
    </row>
    <row r="811" spans="1:8" ht="14.5" thickBot="1">
      <c r="A811" s="285" t="s">
        <v>140</v>
      </c>
      <c r="B811" s="264" t="s">
        <v>2</v>
      </c>
      <c r="C811" s="10" t="s">
        <v>20</v>
      </c>
      <c r="D811" s="10" t="s">
        <v>16</v>
      </c>
      <c r="E811" s="12">
        <v>7.1101562500000002</v>
      </c>
      <c r="F811" s="12">
        <v>4.6639311447688128</v>
      </c>
      <c r="G811" s="12">
        <v>1.319120857851849</v>
      </c>
      <c r="H811" s="28">
        <v>12.901191642148152</v>
      </c>
    </row>
    <row r="812" spans="1:8" ht="14.5" thickBot="1">
      <c r="A812" s="285" t="s">
        <v>141</v>
      </c>
      <c r="B812" s="264" t="s">
        <v>2</v>
      </c>
      <c r="C812" s="9" t="s">
        <v>21</v>
      </c>
      <c r="D812" s="9" t="s">
        <v>16</v>
      </c>
      <c r="E812" s="11">
        <v>3546.3984375</v>
      </c>
      <c r="F812" s="11">
        <v>0</v>
      </c>
      <c r="G812" s="11">
        <v>3546.3984375</v>
      </c>
      <c r="H812" s="29">
        <v>3546.3984375</v>
      </c>
    </row>
    <row r="813" spans="1:8" ht="14.5" thickBot="1">
      <c r="A813" s="285" t="s">
        <v>142</v>
      </c>
      <c r="B813" s="264" t="s">
        <v>2</v>
      </c>
      <c r="C813" s="282" t="s">
        <v>22</v>
      </c>
      <c r="D813" s="282" t="s">
        <v>16</v>
      </c>
      <c r="E813" s="283">
        <v>3666.1994929677389</v>
      </c>
      <c r="F813" s="283">
        <v>2.5949022445283694E-2</v>
      </c>
      <c r="G813" s="283">
        <v>3666.1672730007822</v>
      </c>
      <c r="H813" s="284">
        <v>3666.2317129346957</v>
      </c>
    </row>
    <row r="814" spans="1:8" ht="14.5" thickBot="1">
      <c r="A814" s="285" t="s">
        <v>143</v>
      </c>
      <c r="B814" s="264" t="s">
        <v>2</v>
      </c>
      <c r="C814" s="9" t="s">
        <v>23</v>
      </c>
      <c r="D814" s="9" t="s">
        <v>16</v>
      </c>
      <c r="E814" s="11">
        <v>3666.3984375</v>
      </c>
      <c r="F814" s="11">
        <v>0</v>
      </c>
      <c r="G814" s="11">
        <v>3666.3984375</v>
      </c>
      <c r="H814" s="29">
        <v>3666.3984375</v>
      </c>
    </row>
    <row r="815" spans="1:8" ht="14.5" thickBot="1">
      <c r="A815" s="285" t="s">
        <v>144</v>
      </c>
      <c r="B815" s="264" t="s">
        <v>2</v>
      </c>
      <c r="C815" s="10" t="s">
        <v>24</v>
      </c>
      <c r="D815" s="10" t="s">
        <v>16</v>
      </c>
      <c r="E815" s="12">
        <v>119.80105546773902</v>
      </c>
      <c r="F815" s="12">
        <v>2.5949022445283694E-2</v>
      </c>
      <c r="G815" s="12">
        <v>119.76883550078243</v>
      </c>
      <c r="H815" s="28">
        <v>119.83327543469561</v>
      </c>
    </row>
    <row r="816" spans="1:8" ht="14.5" thickBot="1">
      <c r="A816" s="285" t="s">
        <v>145</v>
      </c>
      <c r="B816" s="264" t="s">
        <v>2</v>
      </c>
      <c r="C816" s="9" t="s">
        <v>25</v>
      </c>
      <c r="D816" s="9" t="s">
        <v>16</v>
      </c>
      <c r="E816" s="11">
        <v>120</v>
      </c>
      <c r="F816" s="11">
        <v>0</v>
      </c>
      <c r="G816" s="11">
        <v>120</v>
      </c>
      <c r="H816" s="29">
        <v>120</v>
      </c>
    </row>
    <row r="817" spans="1:8" ht="14.5" thickBot="1">
      <c r="A817" s="285" t="s">
        <v>146</v>
      </c>
      <c r="B817" s="264" t="s">
        <v>2</v>
      </c>
      <c r="C817" s="10" t="s">
        <v>26</v>
      </c>
      <c r="D817" s="10" t="s">
        <v>13</v>
      </c>
      <c r="E817" s="12">
        <v>34.18443690095372</v>
      </c>
      <c r="F817" s="12">
        <v>0.31815116446015573</v>
      </c>
      <c r="G817" s="12">
        <v>33.789400054085085</v>
      </c>
      <c r="H817" s="28">
        <v>34.579473747822355</v>
      </c>
    </row>
    <row r="818" spans="1:8" ht="14.5" thickBot="1">
      <c r="A818" s="285" t="s">
        <v>147</v>
      </c>
      <c r="B818" s="264" t="s">
        <v>2</v>
      </c>
      <c r="C818" s="9" t="s">
        <v>27</v>
      </c>
      <c r="D818" s="9" t="s">
        <v>13</v>
      </c>
      <c r="E818" s="11">
        <v>95.8</v>
      </c>
      <c r="F818" s="11">
        <v>9.3914855054991175</v>
      </c>
      <c r="G818" s="11">
        <v>84.138930559000002</v>
      </c>
      <c r="H818" s="29">
        <v>107.46106944099999</v>
      </c>
    </row>
    <row r="819" spans="1:8" ht="14.5" thickBot="1">
      <c r="A819" s="285" t="s">
        <v>148</v>
      </c>
      <c r="B819" s="264" t="s">
        <v>2</v>
      </c>
      <c r="C819" s="10" t="s">
        <v>28</v>
      </c>
      <c r="D819" s="10" t="s">
        <v>29</v>
      </c>
      <c r="E819" s="12">
        <v>47.32691096455995</v>
      </c>
      <c r="F819" s="12">
        <v>7.7011257370163166</v>
      </c>
      <c r="G819" s="12">
        <v>37.764700391947571</v>
      </c>
      <c r="H819" s="28">
        <v>56.889121537172329</v>
      </c>
    </row>
    <row r="820" spans="1:8" ht="14.5" thickBot="1">
      <c r="A820" s="285" t="s">
        <v>149</v>
      </c>
      <c r="B820" s="264" t="s">
        <v>2</v>
      </c>
      <c r="C820" s="9" t="s">
        <v>30</v>
      </c>
      <c r="D820" s="9" t="s">
        <v>29</v>
      </c>
      <c r="E820" s="11">
        <v>142.3998</v>
      </c>
      <c r="F820" s="11">
        <v>5.0266426369894281</v>
      </c>
      <c r="G820" s="11">
        <v>136.15839880625882</v>
      </c>
      <c r="H820" s="29">
        <v>148.64120119374118</v>
      </c>
    </row>
    <row r="821" spans="1:8" ht="14.5" thickBot="1">
      <c r="A821" s="285" t="s">
        <v>150</v>
      </c>
      <c r="B821" s="264" t="s">
        <v>2</v>
      </c>
      <c r="C821" s="36" t="s">
        <v>31</v>
      </c>
      <c r="D821" s="36" t="s">
        <v>32</v>
      </c>
      <c r="E821" s="37">
        <v>2.7439236643308567</v>
      </c>
      <c r="F821" s="37">
        <v>0.16416615979922955</v>
      </c>
      <c r="G821" s="37">
        <v>2.5400844539993086</v>
      </c>
      <c r="H821" s="38">
        <v>2.9477628746624047</v>
      </c>
    </row>
    <row r="822" spans="1:8" ht="14.5" thickBot="1">
      <c r="A822" s="285" t="s">
        <v>151</v>
      </c>
      <c r="B822" s="265" t="s">
        <v>3</v>
      </c>
      <c r="C822" s="15" t="s">
        <v>6</v>
      </c>
      <c r="D822" s="15" t="s">
        <v>7</v>
      </c>
      <c r="E822" s="16">
        <v>59.382166380000129</v>
      </c>
      <c r="F822" s="16">
        <v>1.781447865646816</v>
      </c>
      <c r="G822" s="16">
        <v>57.170206700707119</v>
      </c>
      <c r="H822" s="59">
        <v>61.594126059293139</v>
      </c>
    </row>
    <row r="823" spans="1:8" ht="14.5" thickBot="1">
      <c r="A823" s="285" t="s">
        <v>152</v>
      </c>
      <c r="B823" s="265" t="s">
        <v>87</v>
      </c>
      <c r="C823" s="10" t="s">
        <v>8</v>
      </c>
      <c r="D823" s="10" t="s">
        <v>9</v>
      </c>
      <c r="E823" s="12">
        <v>9.9617792954202535</v>
      </c>
      <c r="F823" s="12">
        <v>0.29885050589612733</v>
      </c>
      <c r="G823" s="12">
        <v>9.5907073814304855</v>
      </c>
      <c r="H823" s="28">
        <v>10.332851209410022</v>
      </c>
    </row>
    <row r="824" spans="1:8" ht="14.5" thickBot="1">
      <c r="A824" s="285" t="s">
        <v>153</v>
      </c>
      <c r="B824" s="265" t="s">
        <v>88</v>
      </c>
      <c r="C824" s="9" t="s">
        <v>10</v>
      </c>
      <c r="D824" s="9" t="s">
        <v>11</v>
      </c>
      <c r="E824" s="11">
        <v>100.45835411037709</v>
      </c>
      <c r="F824" s="11">
        <v>3.1122220432722947</v>
      </c>
      <c r="G824" s="11">
        <v>96.594020045105012</v>
      </c>
      <c r="H824" s="29">
        <v>104.32268817564916</v>
      </c>
    </row>
    <row r="825" spans="1:8" ht="14.5" thickBot="1">
      <c r="A825" s="285" t="s">
        <v>154</v>
      </c>
      <c r="B825" s="265" t="s">
        <v>89</v>
      </c>
      <c r="C825" s="291" t="s">
        <v>12</v>
      </c>
      <c r="D825" s="291" t="s">
        <v>13</v>
      </c>
      <c r="E825" s="292">
        <v>2.7070270076008836</v>
      </c>
      <c r="F825" s="292">
        <v>1.1029376303996738E-2</v>
      </c>
      <c r="G825" s="292">
        <v>2.6933322281225447</v>
      </c>
      <c r="H825" s="293">
        <v>2.7207217870792224</v>
      </c>
    </row>
    <row r="826" spans="1:8" ht="14.5" thickBot="1">
      <c r="A826" s="285" t="s">
        <v>155</v>
      </c>
      <c r="B826" s="265" t="s">
        <v>90</v>
      </c>
      <c r="C826" s="9" t="s">
        <v>14</v>
      </c>
      <c r="D826" s="9" t="s">
        <v>13</v>
      </c>
      <c r="E826" s="11">
        <v>6.2518750000000001</v>
      </c>
      <c r="F826" s="11">
        <v>0.44807313158679801</v>
      </c>
      <c r="G826" s="11">
        <v>5.6955187239858898</v>
      </c>
      <c r="H826" s="29">
        <v>6.8082312760141104</v>
      </c>
    </row>
    <row r="827" spans="1:8" ht="14.5" thickBot="1">
      <c r="A827" s="285" t="s">
        <v>156</v>
      </c>
      <c r="B827" s="265" t="s">
        <v>91</v>
      </c>
      <c r="C827" s="10" t="s">
        <v>15</v>
      </c>
      <c r="D827" s="10" t="s">
        <v>16</v>
      </c>
      <c r="E827" s="12">
        <v>1974.753125</v>
      </c>
      <c r="F827" s="12">
        <v>2.5415588689571997</v>
      </c>
      <c r="G827" s="12">
        <v>1971.5973628533252</v>
      </c>
      <c r="H827" s="28">
        <v>1977.9088871466747</v>
      </c>
    </row>
    <row r="828" spans="1:8" ht="14.5" thickBot="1">
      <c r="A828" s="285" t="s">
        <v>157</v>
      </c>
      <c r="B828" s="265" t="s">
        <v>92</v>
      </c>
      <c r="C828" s="297" t="s">
        <v>17</v>
      </c>
      <c r="D828" s="297" t="s">
        <v>16</v>
      </c>
      <c r="E828" s="298">
        <v>1976.0765351066232</v>
      </c>
      <c r="F828" s="298">
        <v>0.60232344961244466</v>
      </c>
      <c r="G828" s="298">
        <v>1975.3286517640188</v>
      </c>
      <c r="H828" s="299">
        <v>1976.8244184492276</v>
      </c>
    </row>
    <row r="829" spans="1:8" ht="14.5" thickBot="1">
      <c r="A829" s="285" t="s">
        <v>158</v>
      </c>
      <c r="B829" s="265" t="s">
        <v>93</v>
      </c>
      <c r="C829" s="10" t="s">
        <v>18</v>
      </c>
      <c r="D829" s="10" t="s">
        <v>16</v>
      </c>
      <c r="E829" s="12">
        <v>1980.57421875</v>
      </c>
      <c r="F829" s="12">
        <v>0.89099755776838063</v>
      </c>
      <c r="G829" s="12">
        <v>1979.4678991601104</v>
      </c>
      <c r="H829" s="28">
        <v>1981.6805383398896</v>
      </c>
    </row>
    <row r="830" spans="1:8" ht="14.5" thickBot="1">
      <c r="A830" s="285" t="s">
        <v>159</v>
      </c>
      <c r="B830" s="265" t="s">
        <v>94</v>
      </c>
      <c r="C830" s="9" t="s">
        <v>19</v>
      </c>
      <c r="D830" s="9" t="s">
        <v>16</v>
      </c>
      <c r="E830" s="11">
        <v>1.3234101066231687</v>
      </c>
      <c r="F830" s="11">
        <v>2.03761256900329</v>
      </c>
      <c r="G830" s="11">
        <v>-1.2066200624154606</v>
      </c>
      <c r="H830" s="29">
        <v>3.8534402756617983</v>
      </c>
    </row>
    <row r="831" spans="1:8" ht="14.5" thickBot="1">
      <c r="A831" s="285" t="s">
        <v>160</v>
      </c>
      <c r="B831" s="265" t="s">
        <v>95</v>
      </c>
      <c r="C831" s="10" t="s">
        <v>20</v>
      </c>
      <c r="D831" s="10" t="s">
        <v>16</v>
      </c>
      <c r="E831" s="12">
        <v>5.8210937500000002</v>
      </c>
      <c r="F831" s="12">
        <v>1.7093144770478346</v>
      </c>
      <c r="G831" s="12">
        <v>3.698699502392409</v>
      </c>
      <c r="H831" s="28">
        <v>7.9434879976075914</v>
      </c>
    </row>
    <row r="832" spans="1:8" ht="14.5" thickBot="1">
      <c r="A832" s="285" t="s">
        <v>161</v>
      </c>
      <c r="B832" s="265" t="s">
        <v>96</v>
      </c>
      <c r="C832" s="9" t="s">
        <v>21</v>
      </c>
      <c r="D832" s="9" t="s">
        <v>16</v>
      </c>
      <c r="E832" s="11">
        <v>3899.2734375</v>
      </c>
      <c r="F832" s="11">
        <v>0</v>
      </c>
      <c r="G832" s="11">
        <v>3899.2734375</v>
      </c>
      <c r="H832" s="29">
        <v>3899.2734375</v>
      </c>
    </row>
    <row r="833" spans="1:8" ht="14.5" thickBot="1">
      <c r="A833" s="285" t="s">
        <v>162</v>
      </c>
      <c r="B833" s="265" t="s">
        <v>97</v>
      </c>
      <c r="C833" s="282" t="s">
        <v>22</v>
      </c>
      <c r="D833" s="282" t="s">
        <v>16</v>
      </c>
      <c r="E833" s="283">
        <v>3946.9820173264116</v>
      </c>
      <c r="F833" s="283">
        <v>1.0179059624185909E-2</v>
      </c>
      <c r="G833" s="283">
        <v>3946.9693783545417</v>
      </c>
      <c r="H833" s="284">
        <v>3946.9946562982814</v>
      </c>
    </row>
    <row r="834" spans="1:8" ht="14.5" thickBot="1">
      <c r="A834" s="285" t="s">
        <v>163</v>
      </c>
      <c r="B834" s="265" t="s">
        <v>98</v>
      </c>
      <c r="C834" s="9" t="s">
        <v>23</v>
      </c>
      <c r="D834" s="9" t="s">
        <v>16</v>
      </c>
      <c r="E834" s="11">
        <v>3947.2734375</v>
      </c>
      <c r="F834" s="11">
        <v>0</v>
      </c>
      <c r="G834" s="11">
        <v>3947.2734375</v>
      </c>
      <c r="H834" s="29">
        <v>3947.2734375</v>
      </c>
    </row>
    <row r="835" spans="1:8" ht="14.5" thickBot="1">
      <c r="A835" s="285" t="s">
        <v>164</v>
      </c>
      <c r="B835" s="265" t="s">
        <v>99</v>
      </c>
      <c r="C835" s="10" t="s">
        <v>24</v>
      </c>
      <c r="D835" s="10" t="s">
        <v>16</v>
      </c>
      <c r="E835" s="12">
        <v>47.708579826411551</v>
      </c>
      <c r="F835" s="12">
        <v>1.0179059624185909E-2</v>
      </c>
      <c r="G835" s="12">
        <v>47.695940854541533</v>
      </c>
      <c r="H835" s="28">
        <v>47.721218798281569</v>
      </c>
    </row>
    <row r="836" spans="1:8" ht="14.5" thickBot="1">
      <c r="A836" s="285" t="s">
        <v>165</v>
      </c>
      <c r="B836" s="265" t="s">
        <v>100</v>
      </c>
      <c r="C836" s="9" t="s">
        <v>25</v>
      </c>
      <c r="D836" s="9" t="s">
        <v>16</v>
      </c>
      <c r="E836" s="11">
        <v>48</v>
      </c>
      <c r="F836" s="11">
        <v>0</v>
      </c>
      <c r="G836" s="11">
        <v>48</v>
      </c>
      <c r="H836" s="29">
        <v>48</v>
      </c>
    </row>
    <row r="837" spans="1:8" ht="14.5" thickBot="1">
      <c r="A837" s="285" t="s">
        <v>166</v>
      </c>
      <c r="B837" s="265" t="s">
        <v>101</v>
      </c>
      <c r="C837" s="10" t="s">
        <v>26</v>
      </c>
      <c r="D837" s="10" t="s">
        <v>13</v>
      </c>
      <c r="E837" s="12">
        <v>32.452120261638072</v>
      </c>
      <c r="F837" s="12">
        <v>0.96438254476384</v>
      </c>
      <c r="G837" s="12">
        <v>31.254681175393987</v>
      </c>
      <c r="H837" s="28">
        <v>33.649559347882153</v>
      </c>
    </row>
    <row r="838" spans="1:8" ht="14.5" thickBot="1">
      <c r="A838" s="285" t="s">
        <v>167</v>
      </c>
      <c r="B838" s="265" t="s">
        <v>102</v>
      </c>
      <c r="C838" s="9" t="s">
        <v>27</v>
      </c>
      <c r="D838" s="9" t="s">
        <v>13</v>
      </c>
      <c r="E838" s="11">
        <v>98.4</v>
      </c>
      <c r="F838" s="11">
        <v>3.0495901363953815</v>
      </c>
      <c r="G838" s="11">
        <v>94.613433718630304</v>
      </c>
      <c r="H838" s="29">
        <v>102.18656628136971</v>
      </c>
    </row>
    <row r="839" spans="1:8" ht="14.5" thickBot="1">
      <c r="A839" s="285" t="s">
        <v>168</v>
      </c>
      <c r="B839" s="265" t="s">
        <v>103</v>
      </c>
      <c r="C839" s="10" t="s">
        <v>28</v>
      </c>
      <c r="D839" s="10" t="s">
        <v>29</v>
      </c>
      <c r="E839" s="12">
        <v>56.735636854742886</v>
      </c>
      <c r="F839" s="12">
        <v>1.4740267220057754</v>
      </c>
      <c r="G839" s="12">
        <v>54.905390941768395</v>
      </c>
      <c r="H839" s="28">
        <v>58.565882767717376</v>
      </c>
    </row>
    <row r="840" spans="1:8" ht="14.5" thickBot="1">
      <c r="A840" s="285" t="s">
        <v>169</v>
      </c>
      <c r="B840" s="265" t="s">
        <v>104</v>
      </c>
      <c r="C840" s="9" t="s">
        <v>30</v>
      </c>
      <c r="D840" s="9" t="s">
        <v>29</v>
      </c>
      <c r="E840" s="11">
        <v>143.01000000000002</v>
      </c>
      <c r="F840" s="11">
        <v>0.58918333309760162</v>
      </c>
      <c r="G840" s="11">
        <v>142.27843226700315</v>
      </c>
      <c r="H840" s="29">
        <v>143.74156773299688</v>
      </c>
    </row>
    <row r="841" spans="1:8" ht="14.5" thickBot="1">
      <c r="A841" s="285" t="s">
        <v>170</v>
      </c>
      <c r="B841" s="265" t="s">
        <v>105</v>
      </c>
      <c r="C841" s="36" t="s">
        <v>31</v>
      </c>
      <c r="D841" s="36" t="s">
        <v>32</v>
      </c>
      <c r="E841" s="37">
        <v>0.94002871011332445</v>
      </c>
      <c r="F841" s="37">
        <v>1.2802790415248856E-2</v>
      </c>
      <c r="G841" s="37">
        <v>0.92413194617929417</v>
      </c>
      <c r="H841" s="38">
        <v>0.95592547404735473</v>
      </c>
    </row>
    <row r="842" spans="1:8" ht="14.5" thickBot="1">
      <c r="A842" s="285" t="s">
        <v>171</v>
      </c>
      <c r="B842" s="264" t="s">
        <v>4</v>
      </c>
      <c r="C842" s="15" t="s">
        <v>6</v>
      </c>
      <c r="D842" s="15" t="s">
        <v>7</v>
      </c>
      <c r="E842" s="16">
        <v>29.126608419999958</v>
      </c>
      <c r="F842" s="16">
        <v>1.2503346723462865</v>
      </c>
      <c r="G842" s="16">
        <v>27.574112871752273</v>
      </c>
      <c r="H842" s="59">
        <v>30.679103968247642</v>
      </c>
    </row>
    <row r="843" spans="1:8" ht="14.5" thickBot="1">
      <c r="A843" s="285" t="s">
        <v>172</v>
      </c>
      <c r="B843" s="264" t="s">
        <v>4</v>
      </c>
      <c r="C843" s="10" t="s">
        <v>8</v>
      </c>
      <c r="D843" s="10" t="s">
        <v>9</v>
      </c>
      <c r="E843" s="12">
        <v>9.7088694733333192</v>
      </c>
      <c r="F843" s="12">
        <v>0.41677822411542892</v>
      </c>
      <c r="G843" s="12">
        <v>9.1913709572507578</v>
      </c>
      <c r="H843" s="28">
        <v>10.226367989415881</v>
      </c>
    </row>
    <row r="844" spans="1:8" ht="14.5" thickBot="1">
      <c r="A844" s="285" t="s">
        <v>173</v>
      </c>
      <c r="B844" s="264" t="s">
        <v>4</v>
      </c>
      <c r="C844" s="9" t="s">
        <v>10</v>
      </c>
      <c r="D844" s="9" t="s">
        <v>11</v>
      </c>
      <c r="E844" s="11">
        <v>103.15216252948764</v>
      </c>
      <c r="F844" s="11">
        <v>4.4721544095110142</v>
      </c>
      <c r="G844" s="11">
        <v>97.599249405185191</v>
      </c>
      <c r="H844" s="29">
        <v>108.70507565379009</v>
      </c>
    </row>
    <row r="845" spans="1:8" ht="14.5" thickBot="1">
      <c r="A845" s="285" t="s">
        <v>174</v>
      </c>
      <c r="B845" s="264" t="s">
        <v>4</v>
      </c>
      <c r="C845" s="291" t="s">
        <v>12</v>
      </c>
      <c r="D845" s="291" t="s">
        <v>13</v>
      </c>
      <c r="E845" s="292">
        <v>2.5742109934976223</v>
      </c>
      <c r="F845" s="292">
        <v>6.2726457754880852E-2</v>
      </c>
      <c r="G845" s="292">
        <v>2.4963258091740861</v>
      </c>
      <c r="H845" s="293">
        <v>2.6520961778211585</v>
      </c>
    </row>
    <row r="846" spans="1:8" ht="14.5" thickBot="1">
      <c r="A846" s="285" t="s">
        <v>175</v>
      </c>
      <c r="B846" s="264" t="s">
        <v>4</v>
      </c>
      <c r="C846" s="9" t="s">
        <v>14</v>
      </c>
      <c r="D846" s="9" t="s">
        <v>13</v>
      </c>
      <c r="E846" s="11">
        <v>5.4325000000000001</v>
      </c>
      <c r="F846" s="11">
        <v>0.24834019320782519</v>
      </c>
      <c r="G846" s="11">
        <v>5.1241449228088438</v>
      </c>
      <c r="H846" s="29">
        <v>5.7408550771911564</v>
      </c>
    </row>
    <row r="847" spans="1:8" ht="14.5" thickBot="1">
      <c r="A847" s="285" t="s">
        <v>176</v>
      </c>
      <c r="B847" s="264" t="s">
        <v>4</v>
      </c>
      <c r="C847" s="10" t="s">
        <v>15</v>
      </c>
      <c r="D847" s="10" t="s">
        <v>16</v>
      </c>
      <c r="E847" s="12">
        <v>6816.7828124999996</v>
      </c>
      <c r="F847" s="12">
        <v>4.0189471681439199</v>
      </c>
      <c r="G847" s="12">
        <v>6811.7926304909879</v>
      </c>
      <c r="H847" s="28">
        <v>6821.7729945090114</v>
      </c>
    </row>
    <row r="848" spans="1:8" ht="14.5" thickBot="1">
      <c r="A848" s="285" t="s">
        <v>177</v>
      </c>
      <c r="B848" s="264" t="s">
        <v>4</v>
      </c>
      <c r="C848" s="297" t="s">
        <v>17</v>
      </c>
      <c r="D848" s="297" t="s">
        <v>16</v>
      </c>
      <c r="E848" s="298">
        <v>6818.5813842852558</v>
      </c>
      <c r="F848" s="298">
        <v>0.33021956231869359</v>
      </c>
      <c r="G848" s="298">
        <v>6818.1713625432512</v>
      </c>
      <c r="H848" s="299">
        <v>6818.9914060272604</v>
      </c>
    </row>
    <row r="849" spans="1:8" ht="14.5" thickBot="1">
      <c r="A849" s="285" t="s">
        <v>178</v>
      </c>
      <c r="B849" s="264" t="s">
        <v>4</v>
      </c>
      <c r="C849" s="10" t="s">
        <v>18</v>
      </c>
      <c r="D849" s="10" t="s">
        <v>16</v>
      </c>
      <c r="E849" s="12">
        <v>6822.6078125000004</v>
      </c>
      <c r="F849" s="12">
        <v>0.75726663652181492</v>
      </c>
      <c r="G849" s="12">
        <v>6821.6675417804572</v>
      </c>
      <c r="H849" s="28">
        <v>6823.5480832195435</v>
      </c>
    </row>
    <row r="850" spans="1:8" ht="14.5" thickBot="1">
      <c r="A850" s="285" t="s">
        <v>179</v>
      </c>
      <c r="B850" s="264" t="s">
        <v>4</v>
      </c>
      <c r="C850" s="9" t="s">
        <v>19</v>
      </c>
      <c r="D850" s="9" t="s">
        <v>16</v>
      </c>
      <c r="E850" s="11">
        <v>1.7985717852559902</v>
      </c>
      <c r="F850" s="11">
        <v>3.6896201821708368</v>
      </c>
      <c r="G850" s="11">
        <v>-2.782696761665183</v>
      </c>
      <c r="H850" s="29">
        <v>6.3798403321771628</v>
      </c>
    </row>
    <row r="851" spans="1:8" ht="14.5" thickBot="1">
      <c r="A851" s="285" t="s">
        <v>180</v>
      </c>
      <c r="B851" s="264" t="s">
        <v>4</v>
      </c>
      <c r="C851" s="10" t="s">
        <v>20</v>
      </c>
      <c r="D851" s="10" t="s">
        <v>16</v>
      </c>
      <c r="E851" s="12">
        <v>5.8250000000000002</v>
      </c>
      <c r="F851" s="12">
        <v>4.021253768734149</v>
      </c>
      <c r="G851" s="12">
        <v>0.83195396807730582</v>
      </c>
      <c r="H851" s="28">
        <v>10.818046031922695</v>
      </c>
    </row>
    <row r="852" spans="1:8" ht="14.5" thickBot="1">
      <c r="A852" s="285" t="s">
        <v>181</v>
      </c>
      <c r="B852" s="264" t="s">
        <v>4</v>
      </c>
      <c r="C852" s="9" t="s">
        <v>21</v>
      </c>
      <c r="D852" s="9" t="s">
        <v>16</v>
      </c>
      <c r="E852" s="11">
        <v>3548.4375</v>
      </c>
      <c r="F852" s="11">
        <v>0</v>
      </c>
      <c r="G852" s="11">
        <v>3548.4375</v>
      </c>
      <c r="H852" s="29">
        <v>3548.4375</v>
      </c>
    </row>
    <row r="853" spans="1:8" ht="14.5" thickBot="1">
      <c r="A853" s="285" t="s">
        <v>182</v>
      </c>
      <c r="B853" s="264" t="s">
        <v>4</v>
      </c>
      <c r="C853" s="282" t="s">
        <v>22</v>
      </c>
      <c r="D853" s="282" t="s">
        <v>16</v>
      </c>
      <c r="E853" s="283">
        <v>3666.9839764743451</v>
      </c>
      <c r="F853" s="283">
        <v>5.8097859175419438E-2</v>
      </c>
      <c r="G853" s="283">
        <v>3666.9118384542394</v>
      </c>
      <c r="H853" s="284">
        <v>3667.0561144944509</v>
      </c>
    </row>
    <row r="854" spans="1:8" ht="14.5" thickBot="1">
      <c r="A854" s="285" t="s">
        <v>183</v>
      </c>
      <c r="B854" s="264" t="s">
        <v>4</v>
      </c>
      <c r="C854" s="9" t="s">
        <v>23</v>
      </c>
      <c r="D854" s="9" t="s">
        <v>16</v>
      </c>
      <c r="E854" s="11">
        <v>3668.4375</v>
      </c>
      <c r="F854" s="11">
        <v>0</v>
      </c>
      <c r="G854" s="11">
        <v>3668.4375</v>
      </c>
      <c r="H854" s="29">
        <v>3668.4375</v>
      </c>
    </row>
    <row r="855" spans="1:8" ht="14.5" thickBot="1">
      <c r="A855" s="285" t="s">
        <v>184</v>
      </c>
      <c r="B855" s="264" t="s">
        <v>4</v>
      </c>
      <c r="C855" s="10" t="s">
        <v>24</v>
      </c>
      <c r="D855" s="10" t="s">
        <v>16</v>
      </c>
      <c r="E855" s="12">
        <v>118.54647647434531</v>
      </c>
      <c r="F855" s="12">
        <v>5.8097859175419438E-2</v>
      </c>
      <c r="G855" s="12">
        <v>118.47433845423961</v>
      </c>
      <c r="H855" s="28">
        <v>118.61861449445101</v>
      </c>
    </row>
    <row r="856" spans="1:8" ht="14.5" thickBot="1">
      <c r="A856" s="285" t="s">
        <v>185</v>
      </c>
      <c r="B856" s="264" t="s">
        <v>4</v>
      </c>
      <c r="C856" s="9" t="s">
        <v>25</v>
      </c>
      <c r="D856" s="9" t="s">
        <v>16</v>
      </c>
      <c r="E856" s="11">
        <v>120</v>
      </c>
      <c r="F856" s="11">
        <v>0</v>
      </c>
      <c r="G856" s="11">
        <v>120</v>
      </c>
      <c r="H856" s="29">
        <v>120</v>
      </c>
    </row>
    <row r="857" spans="1:8" ht="14.5" thickBot="1">
      <c r="A857" s="285" t="s">
        <v>186</v>
      </c>
      <c r="B857" s="264" t="s">
        <v>4</v>
      </c>
      <c r="C857" s="10" t="s">
        <v>26</v>
      </c>
      <c r="D857" s="10" t="s">
        <v>13</v>
      </c>
      <c r="E857" s="12">
        <v>36.278049819033427</v>
      </c>
      <c r="F857" s="12">
        <v>3.237075241236977</v>
      </c>
      <c r="G857" s="12">
        <v>32.258690032799045</v>
      </c>
      <c r="H857" s="28">
        <v>40.297409605267809</v>
      </c>
    </row>
    <row r="858" spans="1:8" ht="14.5" thickBot="1">
      <c r="A858" s="285" t="s">
        <v>187</v>
      </c>
      <c r="B858" s="264" t="s">
        <v>4</v>
      </c>
      <c r="C858" s="9" t="s">
        <v>27</v>
      </c>
      <c r="D858" s="9" t="s">
        <v>13</v>
      </c>
      <c r="E858" s="11">
        <v>100</v>
      </c>
      <c r="F858" s="11">
        <v>0</v>
      </c>
      <c r="G858" s="11">
        <v>100</v>
      </c>
      <c r="H858" s="29">
        <v>100</v>
      </c>
    </row>
    <row r="859" spans="1:8" ht="14.5" thickBot="1">
      <c r="A859" s="285" t="s">
        <v>188</v>
      </c>
      <c r="B859" s="264" t="s">
        <v>4</v>
      </c>
      <c r="C859" s="10" t="s">
        <v>28</v>
      </c>
      <c r="D859" s="10" t="s">
        <v>29</v>
      </c>
      <c r="E859" s="12">
        <v>57.209553319553855</v>
      </c>
      <c r="F859" s="12">
        <v>1.8366656168032134</v>
      </c>
      <c r="G859" s="12">
        <v>54.929031746593061</v>
      </c>
      <c r="H859" s="28">
        <v>59.490074892514649</v>
      </c>
    </row>
    <row r="860" spans="1:8" ht="14.5" thickBot="1">
      <c r="A860" s="285" t="s">
        <v>189</v>
      </c>
      <c r="B860" s="264" t="s">
        <v>4</v>
      </c>
      <c r="C860" s="9" t="s">
        <v>30</v>
      </c>
      <c r="D860" s="9" t="s">
        <v>29</v>
      </c>
      <c r="E860" s="11">
        <v>140.9786</v>
      </c>
      <c r="F860" s="11">
        <v>3.563061225968482</v>
      </c>
      <c r="G860" s="11">
        <v>136.55447515263435</v>
      </c>
      <c r="H860" s="29">
        <v>145.40272484736565</v>
      </c>
    </row>
    <row r="861" spans="1:8" ht="14.5" thickBot="1">
      <c r="A861" s="285" t="s">
        <v>190</v>
      </c>
      <c r="B861" s="264" t="s">
        <v>4</v>
      </c>
      <c r="C861" s="36" t="s">
        <v>31</v>
      </c>
      <c r="D861" s="36" t="s">
        <v>32</v>
      </c>
      <c r="E861" s="37">
        <v>0.46719540766255402</v>
      </c>
      <c r="F861" s="37">
        <v>1.2766847232021908E-2</v>
      </c>
      <c r="G861" s="37">
        <v>0.45134327308511435</v>
      </c>
      <c r="H861" s="38">
        <v>0.48304754223999369</v>
      </c>
    </row>
    <row r="862" spans="1:8" ht="14.5" thickBot="1">
      <c r="A862" s="285" t="s">
        <v>191</v>
      </c>
      <c r="B862" s="265" t="s">
        <v>5</v>
      </c>
      <c r="C862" s="15" t="s">
        <v>6</v>
      </c>
      <c r="D862" s="15" t="s">
        <v>7</v>
      </c>
      <c r="E862" s="16">
        <v>22.180244940000101</v>
      </c>
      <c r="F862" s="16">
        <v>0.23999618116629651</v>
      </c>
      <c r="G862" s="16">
        <v>21.88225032216075</v>
      </c>
      <c r="H862" s="59">
        <v>22.478239557839451</v>
      </c>
    </row>
    <row r="863" spans="1:8" ht="14.5" thickBot="1">
      <c r="A863" s="285" t="s">
        <v>192</v>
      </c>
      <c r="B863" s="265" t="s">
        <v>5</v>
      </c>
      <c r="C863" s="10" t="s">
        <v>8</v>
      </c>
      <c r="D863" s="10" t="s">
        <v>9</v>
      </c>
      <c r="E863" s="12">
        <v>8.9617151272727682</v>
      </c>
      <c r="F863" s="12">
        <v>9.6968154006584345E-2</v>
      </c>
      <c r="G863" s="12">
        <v>8.8413132614790921</v>
      </c>
      <c r="H863" s="28">
        <v>9.0821169930664443</v>
      </c>
    </row>
    <row r="864" spans="1:8" ht="14.5" thickBot="1">
      <c r="A864" s="285" t="s">
        <v>193</v>
      </c>
      <c r="B864" s="265" t="s">
        <v>5</v>
      </c>
      <c r="C864" s="9" t="s">
        <v>10</v>
      </c>
      <c r="D864" s="9" t="s">
        <v>11</v>
      </c>
      <c r="E864" s="11">
        <v>111.59626515062826</v>
      </c>
      <c r="F864" s="11">
        <v>1.2109671202678898</v>
      </c>
      <c r="G864" s="11">
        <v>110.09265087449025</v>
      </c>
      <c r="H864" s="29">
        <v>113.09987942676626</v>
      </c>
    </row>
    <row r="865" spans="1:8" ht="14.5" thickBot="1">
      <c r="A865" s="285" t="s">
        <v>194</v>
      </c>
      <c r="B865" s="265" t="s">
        <v>5</v>
      </c>
      <c r="C865" s="291" t="s">
        <v>12</v>
      </c>
      <c r="D865" s="291" t="s">
        <v>13</v>
      </c>
      <c r="E865" s="292">
        <v>2.6435192166218928</v>
      </c>
      <c r="F865" s="292">
        <v>2.2036598861504612E-2</v>
      </c>
      <c r="G865" s="292">
        <v>2.6161571651746538</v>
      </c>
      <c r="H865" s="293">
        <v>2.6708812680691318</v>
      </c>
    </row>
    <row r="866" spans="1:8" ht="14.5" thickBot="1">
      <c r="A866" s="285" t="s">
        <v>195</v>
      </c>
      <c r="B866" s="265" t="s">
        <v>5</v>
      </c>
      <c r="C866" s="9" t="s">
        <v>14</v>
      </c>
      <c r="D866" s="9" t="s">
        <v>13</v>
      </c>
      <c r="E866" s="11">
        <v>6.1912500000000001</v>
      </c>
      <c r="F866" s="11">
        <v>0.57098376591414579</v>
      </c>
      <c r="G866" s="11">
        <v>5.4822800143561068</v>
      </c>
      <c r="H866" s="29">
        <v>6.9002199856438935</v>
      </c>
    </row>
    <row r="867" spans="1:8" ht="14.5" thickBot="1">
      <c r="A867" s="285" t="s">
        <v>196</v>
      </c>
      <c r="B867" s="265" t="s">
        <v>5</v>
      </c>
      <c r="C867" s="10" t="s">
        <v>15</v>
      </c>
      <c r="D867" s="10" t="s">
        <v>16</v>
      </c>
      <c r="E867" s="12">
        <v>5782.0375000000004</v>
      </c>
      <c r="F867" s="12">
        <v>3.992512943865504</v>
      </c>
      <c r="G867" s="12">
        <v>5777.0801404155936</v>
      </c>
      <c r="H867" s="28">
        <v>5786.9948595844071</v>
      </c>
    </row>
    <row r="868" spans="1:8" ht="14.5" thickBot="1">
      <c r="A868" s="285" t="s">
        <v>197</v>
      </c>
      <c r="B868" s="265" t="s">
        <v>5</v>
      </c>
      <c r="C868" s="297" t="s">
        <v>17</v>
      </c>
      <c r="D868" s="297" t="s">
        <v>16</v>
      </c>
      <c r="E868" s="298">
        <v>5783.8780844491193</v>
      </c>
      <c r="F868" s="298">
        <v>0.52884935172015202</v>
      </c>
      <c r="G868" s="298">
        <v>5783.2214312486622</v>
      </c>
      <c r="H868" s="299">
        <v>5784.5347376495765</v>
      </c>
    </row>
    <row r="869" spans="1:8" ht="14.5" thickBot="1">
      <c r="A869" s="285" t="s">
        <v>198</v>
      </c>
      <c r="B869" s="265" t="s">
        <v>5</v>
      </c>
      <c r="C869" s="10" t="s">
        <v>18</v>
      </c>
      <c r="D869" s="10" t="s">
        <v>16</v>
      </c>
      <c r="E869" s="12">
        <v>5787.328125</v>
      </c>
      <c r="F869" s="12">
        <v>2.1485351540306405</v>
      </c>
      <c r="G869" s="12">
        <v>5784.6603662505549</v>
      </c>
      <c r="H869" s="28">
        <v>5789.9958837494451</v>
      </c>
    </row>
    <row r="870" spans="1:8" ht="14.5" thickBot="1">
      <c r="A870" s="285" t="s">
        <v>199</v>
      </c>
      <c r="B870" s="265" t="s">
        <v>5</v>
      </c>
      <c r="C870" s="9" t="s">
        <v>19</v>
      </c>
      <c r="D870" s="9" t="s">
        <v>16</v>
      </c>
      <c r="E870" s="11">
        <v>1.8405844491197059</v>
      </c>
      <c r="F870" s="11">
        <v>3.5296008037166309</v>
      </c>
      <c r="G870" s="11">
        <v>-2.5419937965740917</v>
      </c>
      <c r="H870" s="29">
        <v>6.223162694813503</v>
      </c>
    </row>
    <row r="871" spans="1:8" ht="14.5" thickBot="1">
      <c r="A871" s="285" t="s">
        <v>200</v>
      </c>
      <c r="B871" s="265" t="s">
        <v>5</v>
      </c>
      <c r="C871" s="10" t="s">
        <v>20</v>
      </c>
      <c r="D871" s="10" t="s">
        <v>16</v>
      </c>
      <c r="E871" s="12">
        <v>5.2906250000000004</v>
      </c>
      <c r="F871" s="12">
        <v>1.9065153343770525</v>
      </c>
      <c r="G871" s="12">
        <v>2.9233735474492457</v>
      </c>
      <c r="H871" s="28">
        <v>7.657876452550755</v>
      </c>
    </row>
    <row r="872" spans="1:8" ht="14.5" thickBot="1">
      <c r="A872" s="285" t="s">
        <v>201</v>
      </c>
      <c r="B872" s="265" t="s">
        <v>5</v>
      </c>
      <c r="C872" s="9" t="s">
        <v>21</v>
      </c>
      <c r="D872" s="9" t="s">
        <v>16</v>
      </c>
      <c r="E872" s="11">
        <v>3561.75</v>
      </c>
      <c r="F872" s="11">
        <v>0</v>
      </c>
      <c r="G872" s="11">
        <v>3561.75</v>
      </c>
      <c r="H872" s="29">
        <v>3561.75</v>
      </c>
    </row>
    <row r="873" spans="1:8" ht="14.5" thickBot="1">
      <c r="A873" s="285" t="s">
        <v>202</v>
      </c>
      <c r="B873" s="265" t="s">
        <v>5</v>
      </c>
      <c r="C873" s="282" t="s">
        <v>22</v>
      </c>
      <c r="D873" s="282" t="s">
        <v>16</v>
      </c>
      <c r="E873" s="283">
        <v>3679.7881181034172</v>
      </c>
      <c r="F873" s="283">
        <v>5.2188451243996702E-2</v>
      </c>
      <c r="G873" s="283">
        <v>3679.7233175823903</v>
      </c>
      <c r="H873" s="284">
        <v>3679.8529186244441</v>
      </c>
    </row>
    <row r="874" spans="1:8" ht="14.5" thickBot="1">
      <c r="A874" s="285" t="s">
        <v>203</v>
      </c>
      <c r="B874" s="265" t="s">
        <v>5</v>
      </c>
      <c r="C874" s="9" t="s">
        <v>23</v>
      </c>
      <c r="D874" s="9" t="s">
        <v>16</v>
      </c>
      <c r="E874" s="11">
        <v>3681.75</v>
      </c>
      <c r="F874" s="11">
        <v>0</v>
      </c>
      <c r="G874" s="11">
        <v>3681.75</v>
      </c>
      <c r="H874" s="29">
        <v>3681.75</v>
      </c>
    </row>
    <row r="875" spans="1:8" ht="14.5" thickBot="1">
      <c r="A875" s="285" t="s">
        <v>204</v>
      </c>
      <c r="B875" s="265" t="s">
        <v>5</v>
      </c>
      <c r="C875" s="10" t="s">
        <v>24</v>
      </c>
      <c r="D875" s="10" t="s">
        <v>16</v>
      </c>
      <c r="E875" s="12">
        <v>118.0381181034173</v>
      </c>
      <c r="F875" s="12">
        <v>5.2188451243996702E-2</v>
      </c>
      <c r="G875" s="12">
        <v>117.97331758239024</v>
      </c>
      <c r="H875" s="28">
        <v>118.10291862444437</v>
      </c>
    </row>
    <row r="876" spans="1:8" ht="14.5" thickBot="1">
      <c r="A876" s="285" t="s">
        <v>205</v>
      </c>
      <c r="B876" s="265" t="s">
        <v>5</v>
      </c>
      <c r="C876" s="9" t="s">
        <v>25</v>
      </c>
      <c r="D876" s="9" t="s">
        <v>16</v>
      </c>
      <c r="E876" s="11">
        <v>120</v>
      </c>
      <c r="F876" s="11">
        <v>0</v>
      </c>
      <c r="G876" s="11">
        <v>120</v>
      </c>
      <c r="H876" s="29">
        <v>120</v>
      </c>
    </row>
    <row r="877" spans="1:8" ht="14.5" thickBot="1">
      <c r="A877" s="285" t="s">
        <v>206</v>
      </c>
      <c r="B877" s="265" t="s">
        <v>5</v>
      </c>
      <c r="C877" s="10" t="s">
        <v>26</v>
      </c>
      <c r="D877" s="10" t="s">
        <v>13</v>
      </c>
      <c r="E877" s="12">
        <v>36.708292388974243</v>
      </c>
      <c r="F877" s="12">
        <v>0.64914734656126571</v>
      </c>
      <c r="G877" s="12">
        <v>35.90226949927704</v>
      </c>
      <c r="H877" s="28">
        <v>37.514315278671447</v>
      </c>
    </row>
    <row r="878" spans="1:8" ht="14.5" thickBot="1">
      <c r="A878" s="285" t="s">
        <v>207</v>
      </c>
      <c r="B878" s="265" t="s">
        <v>5</v>
      </c>
      <c r="C878" s="9" t="s">
        <v>27</v>
      </c>
      <c r="D878" s="9" t="s">
        <v>13</v>
      </c>
      <c r="E878" s="11">
        <v>100</v>
      </c>
      <c r="F878" s="11">
        <v>0</v>
      </c>
      <c r="G878" s="11">
        <v>100</v>
      </c>
      <c r="H878" s="29">
        <v>100</v>
      </c>
    </row>
    <row r="879" spans="1:8" ht="14.5" thickBot="1">
      <c r="A879" s="285" t="s">
        <v>208</v>
      </c>
      <c r="B879" s="265" t="s">
        <v>5</v>
      </c>
      <c r="C879" s="10" t="s">
        <v>28</v>
      </c>
      <c r="D879" s="10" t="s">
        <v>29</v>
      </c>
      <c r="E879" s="12">
        <v>59.201854541350613</v>
      </c>
      <c r="F879" s="12">
        <v>1.2233873913465019</v>
      </c>
      <c r="G879" s="12">
        <v>57.682818461767461</v>
      </c>
      <c r="H879" s="28">
        <v>60.720890620933766</v>
      </c>
    </row>
    <row r="880" spans="1:8" ht="14.5" thickBot="1">
      <c r="A880" s="285" t="s">
        <v>209</v>
      </c>
      <c r="B880" s="265" t="s">
        <v>5</v>
      </c>
      <c r="C880" s="9" t="s">
        <v>30</v>
      </c>
      <c r="D880" s="9" t="s">
        <v>29</v>
      </c>
      <c r="E880" s="11">
        <v>142.745</v>
      </c>
      <c r="F880" s="11">
        <v>1.222039688389873</v>
      </c>
      <c r="G880" s="11">
        <v>141.22763731465824</v>
      </c>
      <c r="H880" s="29">
        <v>144.26236268534177</v>
      </c>
    </row>
    <row r="881" spans="1:8" ht="14.5" thickBot="1">
      <c r="A881" s="285" t="s">
        <v>210</v>
      </c>
      <c r="B881" s="265" t="s">
        <v>5</v>
      </c>
      <c r="C881" s="36" t="s">
        <v>31</v>
      </c>
      <c r="D881" s="36" t="s">
        <v>32</v>
      </c>
      <c r="E881" s="37">
        <v>0.37030717718486067</v>
      </c>
      <c r="F881" s="37">
        <v>6.6948170420770342E-3</v>
      </c>
      <c r="G881" s="37">
        <v>0.36199446388974482</v>
      </c>
      <c r="H881" s="38">
        <v>0.37861989047997652</v>
      </c>
    </row>
  </sheetData>
  <autoFilter ref="C1:H881" xr:uid="{00000000-0001-0000-0200-000000000000}"/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3"/>
  <sheetViews>
    <sheetView topLeftCell="A7" workbookViewId="0">
      <selection activeCell="A104" sqref="A104:A123"/>
    </sheetView>
  </sheetViews>
  <sheetFormatPr defaultRowHeight="14"/>
  <cols>
    <col min="2" max="2" width="30" customWidth="1"/>
    <col min="3" max="3" width="13" customWidth="1"/>
    <col min="4" max="7" width="18" customWidth="1"/>
  </cols>
  <sheetData>
    <row r="1" spans="1:7" ht="18">
      <c r="B1" s="260" t="s">
        <v>66</v>
      </c>
      <c r="C1" s="260"/>
      <c r="D1" s="260"/>
      <c r="E1" s="260"/>
      <c r="F1" s="260"/>
      <c r="G1" s="260"/>
    </row>
    <row r="3" spans="1:7" ht="14.5" thickBot="1">
      <c r="A3" s="1" t="s">
        <v>61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3" t="s">
        <v>5</v>
      </c>
    </row>
    <row r="4" spans="1:7">
      <c r="A4" s="248" t="s">
        <v>65</v>
      </c>
      <c r="B4" s="17" t="s">
        <v>6</v>
      </c>
      <c r="C4" s="17" t="s">
        <v>7</v>
      </c>
      <c r="D4" s="18">
        <v>0.15015239703632072</v>
      </c>
      <c r="E4" s="18">
        <v>0.26275778909875591</v>
      </c>
      <c r="F4" s="18">
        <v>0.19524288021064262</v>
      </c>
      <c r="G4" s="19">
        <v>0.18485687574042567</v>
      </c>
    </row>
    <row r="5" spans="1:7">
      <c r="A5" s="249"/>
      <c r="B5" s="20" t="s">
        <v>8</v>
      </c>
      <c r="C5" s="20" t="s">
        <v>9</v>
      </c>
      <c r="D5" s="4">
        <v>8.3417998353512261E-3</v>
      </c>
      <c r="E5" s="4">
        <v>4.4079481479408815E-2</v>
      </c>
      <c r="F5" s="4">
        <v>6.5080960070214161E-2</v>
      </c>
      <c r="G5" s="21">
        <v>7.4689646763808307E-2</v>
      </c>
    </row>
    <row r="6" spans="1:7">
      <c r="A6" s="249"/>
      <c r="B6" s="20" t="s">
        <v>10</v>
      </c>
      <c r="C6" s="20" t="s">
        <v>11</v>
      </c>
      <c r="D6" s="4">
        <v>7.7543689564766742</v>
      </c>
      <c r="E6" s="4">
        <v>40.805410033092919</v>
      </c>
      <c r="F6" s="4">
        <v>53.194614344666107</v>
      </c>
      <c r="G6" s="21">
        <v>55.053449183000019</v>
      </c>
    </row>
    <row r="7" spans="1:7">
      <c r="A7" s="249"/>
      <c r="B7" s="20" t="s">
        <v>12</v>
      </c>
      <c r="C7" s="20" t="s">
        <v>13</v>
      </c>
      <c r="D7" s="4">
        <v>3.350725518137844E-2</v>
      </c>
      <c r="E7" s="4">
        <v>0.14557788707462199</v>
      </c>
      <c r="F7" s="4">
        <v>8.3001775796012561E-2</v>
      </c>
      <c r="G7" s="21">
        <v>0.12348673839466885</v>
      </c>
    </row>
    <row r="8" spans="1:7">
      <c r="A8" s="249"/>
      <c r="B8" s="20" t="s">
        <v>14</v>
      </c>
      <c r="C8" s="20" t="s">
        <v>13</v>
      </c>
      <c r="D8" s="4">
        <v>0.73830596850154218</v>
      </c>
      <c r="E8" s="4">
        <v>1.8875432010784547</v>
      </c>
      <c r="F8" s="4">
        <v>0.35677455898298011</v>
      </c>
      <c r="G8" s="21">
        <v>0.76684660195993593</v>
      </c>
    </row>
    <row r="9" spans="1:7">
      <c r="A9" s="249"/>
      <c r="B9" s="20" t="s">
        <v>15</v>
      </c>
      <c r="C9" s="20" t="s">
        <v>16</v>
      </c>
      <c r="D9" s="4">
        <v>18.457956243355888</v>
      </c>
      <c r="E9" s="4">
        <v>14.124758395939109</v>
      </c>
      <c r="F9" s="4">
        <v>9.3129612341210883</v>
      </c>
      <c r="G9" s="21">
        <v>10.159777632555191</v>
      </c>
    </row>
    <row r="10" spans="1:7">
      <c r="A10" s="249"/>
      <c r="B10" s="20" t="s">
        <v>17</v>
      </c>
      <c r="C10" s="20" t="s">
        <v>16</v>
      </c>
      <c r="D10" s="4">
        <v>19.34760979863799</v>
      </c>
      <c r="E10" s="4">
        <v>5.6762755312127755</v>
      </c>
      <c r="F10" s="4">
        <v>3.9562048182427154</v>
      </c>
      <c r="G10" s="21">
        <v>3.4837973915498055</v>
      </c>
    </row>
    <row r="11" spans="1:7">
      <c r="A11" s="249"/>
      <c r="B11" s="20" t="s">
        <v>18</v>
      </c>
      <c r="C11" s="20" t="s">
        <v>16</v>
      </c>
      <c r="D11" s="4">
        <v>18.403944695604981</v>
      </c>
      <c r="E11" s="4">
        <v>4.4747252310677901</v>
      </c>
      <c r="F11" s="4">
        <v>1.712009599177464</v>
      </c>
      <c r="G11" s="21">
        <v>1.345555994768926</v>
      </c>
    </row>
    <row r="12" spans="1:7">
      <c r="A12" s="249"/>
      <c r="B12" s="20" t="s">
        <v>19</v>
      </c>
      <c r="C12" s="20" t="s">
        <v>16</v>
      </c>
      <c r="D12" s="4">
        <v>1.0174817463260073</v>
      </c>
      <c r="E12" s="4">
        <v>8.5544597074878954</v>
      </c>
      <c r="F12" s="4">
        <v>5.6509058977775757</v>
      </c>
      <c r="G12" s="21">
        <v>6.6817348615324255</v>
      </c>
    </row>
    <row r="13" spans="1:7">
      <c r="A13" s="249"/>
      <c r="B13" s="20" t="s">
        <v>20</v>
      </c>
      <c r="C13" s="20" t="s">
        <v>16</v>
      </c>
      <c r="D13" s="4">
        <v>0.70897415195797597</v>
      </c>
      <c r="E13" s="4">
        <v>9.7063364313702483</v>
      </c>
      <c r="F13" s="4">
        <v>8.2156219911914423</v>
      </c>
      <c r="G13" s="21">
        <v>9.0690729968378054</v>
      </c>
    </row>
    <row r="14" spans="1:7">
      <c r="A14" s="249"/>
      <c r="B14" s="20" t="s">
        <v>21</v>
      </c>
      <c r="C14" s="20" t="s">
        <v>16</v>
      </c>
      <c r="D14" s="4">
        <v>0</v>
      </c>
      <c r="E14" s="4">
        <v>0</v>
      </c>
      <c r="F14" s="4">
        <v>0</v>
      </c>
      <c r="G14" s="21">
        <v>0</v>
      </c>
    </row>
    <row r="15" spans="1:7">
      <c r="A15" s="249"/>
      <c r="B15" s="20" t="s">
        <v>22</v>
      </c>
      <c r="C15" s="20" t="s">
        <v>16</v>
      </c>
      <c r="D15" s="4">
        <v>0</v>
      </c>
      <c r="E15" s="4">
        <v>0</v>
      </c>
      <c r="F15" s="4">
        <v>0</v>
      </c>
      <c r="G15" s="21">
        <v>0</v>
      </c>
    </row>
    <row r="16" spans="1:7">
      <c r="A16" s="249"/>
      <c r="B16" s="20" t="s">
        <v>23</v>
      </c>
      <c r="C16" s="20" t="s">
        <v>16</v>
      </c>
      <c r="D16" s="4">
        <v>0</v>
      </c>
      <c r="E16" s="4">
        <v>0</v>
      </c>
      <c r="F16" s="4">
        <v>0</v>
      </c>
      <c r="G16" s="21">
        <v>0</v>
      </c>
    </row>
    <row r="17" spans="1:7">
      <c r="A17" s="249"/>
      <c r="B17" s="20" t="s">
        <v>24</v>
      </c>
      <c r="C17" s="20" t="s">
        <v>16</v>
      </c>
      <c r="D17" s="4">
        <v>0</v>
      </c>
      <c r="E17" s="4">
        <v>0</v>
      </c>
      <c r="F17" s="4">
        <v>0</v>
      </c>
      <c r="G17" s="21">
        <v>0</v>
      </c>
    </row>
    <row r="18" spans="1:7">
      <c r="A18" s="249"/>
      <c r="B18" s="20" t="s">
        <v>25</v>
      </c>
      <c r="C18" s="20" t="s">
        <v>16</v>
      </c>
      <c r="D18" s="4">
        <v>0</v>
      </c>
      <c r="E18" s="4">
        <v>0</v>
      </c>
      <c r="F18" s="4">
        <v>0</v>
      </c>
      <c r="G18" s="21">
        <v>0</v>
      </c>
    </row>
    <row r="19" spans="1:7">
      <c r="A19" s="249"/>
      <c r="B19" s="20" t="s">
        <v>26</v>
      </c>
      <c r="C19" s="20" t="s">
        <v>13</v>
      </c>
      <c r="D19" s="4">
        <v>0.57667777494681738</v>
      </c>
      <c r="E19" s="4">
        <v>2.0117758842710085</v>
      </c>
      <c r="F19" s="4">
        <v>3.3904711271087113</v>
      </c>
      <c r="G19" s="21">
        <v>2.2665079633084622</v>
      </c>
    </row>
    <row r="20" spans="1:7">
      <c r="A20" s="249"/>
      <c r="B20" s="20" t="s">
        <v>27</v>
      </c>
      <c r="C20" s="20" t="s">
        <v>13</v>
      </c>
      <c r="D20" s="4">
        <v>3.5777087639996634</v>
      </c>
      <c r="E20" s="4">
        <v>3.7013511046643495</v>
      </c>
      <c r="F20" s="4">
        <v>3</v>
      </c>
      <c r="G20" s="21">
        <v>2.0736441353327719</v>
      </c>
    </row>
    <row r="21" spans="1:7">
      <c r="A21" s="249"/>
      <c r="B21" s="20" t="s">
        <v>28</v>
      </c>
      <c r="C21" s="20" t="s">
        <v>29</v>
      </c>
      <c r="D21" s="4">
        <v>0.16122877110940145</v>
      </c>
      <c r="E21" s="4">
        <v>1.462187323036354</v>
      </c>
      <c r="F21" s="4">
        <v>1.4129865470549796</v>
      </c>
      <c r="G21" s="21">
        <v>1.8792458082003716</v>
      </c>
    </row>
    <row r="22" spans="1:7">
      <c r="A22" s="249"/>
      <c r="B22" s="20" t="s">
        <v>30</v>
      </c>
      <c r="C22" s="20" t="s">
        <v>29</v>
      </c>
      <c r="D22" s="4">
        <v>5.8035285215117183</v>
      </c>
      <c r="E22" s="4">
        <v>7.9751355913238235</v>
      </c>
      <c r="F22" s="4">
        <v>0.28283882336058319</v>
      </c>
      <c r="G22" s="21">
        <v>1.7107050300972391</v>
      </c>
    </row>
    <row r="23" spans="1:7" ht="14.5" thickBot="1">
      <c r="A23" s="250"/>
      <c r="B23" s="22" t="s">
        <v>31</v>
      </c>
      <c r="C23" s="22" t="s">
        <v>32</v>
      </c>
      <c r="D23" s="23">
        <v>2.4405077091102277E-3</v>
      </c>
      <c r="E23" s="23">
        <v>2.1572214990955461E-3</v>
      </c>
      <c r="F23" s="23">
        <v>1.1730721474135296E-3</v>
      </c>
      <c r="G23" s="24">
        <v>5.8288207321102248E-4</v>
      </c>
    </row>
    <row r="24" spans="1:7">
      <c r="A24" s="248" t="s">
        <v>63</v>
      </c>
      <c r="B24" s="42" t="s">
        <v>6</v>
      </c>
      <c r="C24" s="42" t="s">
        <v>7</v>
      </c>
      <c r="D24" s="18">
        <v>1.2840744532362032</v>
      </c>
      <c r="E24" s="18">
        <v>0.39571917229039499</v>
      </c>
      <c r="F24" s="18">
        <v>0.27035697189291252</v>
      </c>
      <c r="G24" s="19">
        <v>0.20855082639630615</v>
      </c>
    </row>
    <row r="25" spans="1:7">
      <c r="A25" s="249"/>
      <c r="B25" s="8" t="s">
        <v>8</v>
      </c>
      <c r="C25" s="8" t="s">
        <v>9</v>
      </c>
      <c r="D25" s="4">
        <v>7.1337469624233554E-2</v>
      </c>
      <c r="E25" s="4">
        <v>6.6384695905115768E-2</v>
      </c>
      <c r="F25" s="4">
        <v>9.0118990630970869E-2</v>
      </c>
      <c r="G25" s="21">
        <v>8.4262960160123662E-2</v>
      </c>
    </row>
    <row r="26" spans="1:7">
      <c r="A26" s="249"/>
      <c r="B26" s="8" t="s">
        <v>10</v>
      </c>
      <c r="C26" s="8" t="s">
        <v>11</v>
      </c>
      <c r="D26" s="4">
        <v>41.482784971287039</v>
      </c>
      <c r="E26" s="4">
        <v>36.23137162993455</v>
      </c>
      <c r="F26" s="4">
        <v>46.139874420661897</v>
      </c>
      <c r="G26" s="21">
        <v>46.3512770283956</v>
      </c>
    </row>
    <row r="27" spans="1:7">
      <c r="A27" s="249"/>
      <c r="B27" s="8" t="s">
        <v>12</v>
      </c>
      <c r="C27" s="8" t="s">
        <v>13</v>
      </c>
      <c r="D27" s="4">
        <v>6.5441082273983472E-2</v>
      </c>
      <c r="E27" s="4">
        <v>9.5254128379572645E-2</v>
      </c>
      <c r="F27" s="4">
        <v>0.10559310465239791</v>
      </c>
      <c r="G27" s="21">
        <v>0.14206668483931661</v>
      </c>
    </row>
    <row r="28" spans="1:7">
      <c r="A28" s="249"/>
      <c r="B28" s="8" t="s">
        <v>14</v>
      </c>
      <c r="C28" s="8" t="s">
        <v>13</v>
      </c>
      <c r="D28" s="4">
        <v>0.22657219806829804</v>
      </c>
      <c r="E28" s="4">
        <v>0.76489569856778505</v>
      </c>
      <c r="F28" s="4">
        <v>1.9948926486624539</v>
      </c>
      <c r="G28" s="21">
        <v>0.44005060078359148</v>
      </c>
    </row>
    <row r="29" spans="1:7">
      <c r="A29" s="249"/>
      <c r="B29" s="8" t="s">
        <v>15</v>
      </c>
      <c r="C29" s="8" t="s">
        <v>16</v>
      </c>
      <c r="D29" s="4">
        <v>285.47830113193419</v>
      </c>
      <c r="E29" s="4">
        <v>14.461640069795015</v>
      </c>
      <c r="F29" s="4">
        <v>10.049392028942208</v>
      </c>
      <c r="G29" s="21">
        <v>9.7007294528042536</v>
      </c>
    </row>
    <row r="30" spans="1:7">
      <c r="A30" s="249"/>
      <c r="B30" s="8" t="s">
        <v>17</v>
      </c>
      <c r="C30" s="8" t="s">
        <v>16</v>
      </c>
      <c r="D30" s="4">
        <v>286.57422180852774</v>
      </c>
      <c r="E30" s="4">
        <v>7.4921249366858582</v>
      </c>
      <c r="F30" s="4">
        <v>2.6499659759515422</v>
      </c>
      <c r="G30" s="21">
        <v>3.5590189995870203</v>
      </c>
    </row>
    <row r="31" spans="1:7">
      <c r="A31" s="249"/>
      <c r="B31" s="8" t="s">
        <v>18</v>
      </c>
      <c r="C31" s="8" t="s">
        <v>16</v>
      </c>
      <c r="D31" s="4">
        <v>285.60582585790689</v>
      </c>
      <c r="E31" s="4">
        <v>5.6196833598035685</v>
      </c>
      <c r="F31" s="4">
        <v>0.84552673896725095</v>
      </c>
      <c r="G31" s="21">
        <v>0.77868524321950039</v>
      </c>
    </row>
    <row r="32" spans="1:7">
      <c r="A32" s="249"/>
      <c r="B32" s="8" t="s">
        <v>19</v>
      </c>
      <c r="C32" s="8" t="s">
        <v>16</v>
      </c>
      <c r="D32" s="4">
        <v>1.3799388137537154</v>
      </c>
      <c r="E32" s="4">
        <v>6.9911755749876265</v>
      </c>
      <c r="F32" s="4">
        <v>7.4247855115124786</v>
      </c>
      <c r="G32" s="21">
        <v>6.2155404528415943</v>
      </c>
    </row>
    <row r="33" spans="1:7">
      <c r="A33" s="249"/>
      <c r="B33" s="8" t="s">
        <v>20</v>
      </c>
      <c r="C33" s="8" t="s">
        <v>16</v>
      </c>
      <c r="D33" s="4">
        <v>1.0218387142353516</v>
      </c>
      <c r="E33" s="4">
        <v>8.9281680171839515</v>
      </c>
      <c r="F33" s="4">
        <v>9.2644727328159284</v>
      </c>
      <c r="G33" s="21">
        <v>8.9544706974332886</v>
      </c>
    </row>
    <row r="34" spans="1:7">
      <c r="A34" s="249"/>
      <c r="B34" s="8" t="s">
        <v>21</v>
      </c>
      <c r="C34" s="8" t="s">
        <v>16</v>
      </c>
      <c r="D34" s="4">
        <v>0</v>
      </c>
      <c r="E34" s="4">
        <v>0</v>
      </c>
      <c r="F34" s="4">
        <v>0</v>
      </c>
      <c r="G34" s="21">
        <v>0</v>
      </c>
    </row>
    <row r="35" spans="1:7">
      <c r="A35" s="249"/>
      <c r="B35" s="8" t="s">
        <v>22</v>
      </c>
      <c r="C35" s="8" t="s">
        <v>16</v>
      </c>
      <c r="D35" s="4">
        <v>0</v>
      </c>
      <c r="E35" s="4">
        <v>0</v>
      </c>
      <c r="F35" s="4">
        <v>0</v>
      </c>
      <c r="G35" s="21">
        <v>0</v>
      </c>
    </row>
    <row r="36" spans="1:7">
      <c r="A36" s="249"/>
      <c r="B36" s="8" t="s">
        <v>23</v>
      </c>
      <c r="C36" s="8" t="s">
        <v>16</v>
      </c>
      <c r="D36" s="4">
        <v>0</v>
      </c>
      <c r="E36" s="4">
        <v>0</v>
      </c>
      <c r="F36" s="4">
        <v>0</v>
      </c>
      <c r="G36" s="21">
        <v>0</v>
      </c>
    </row>
    <row r="37" spans="1:7">
      <c r="A37" s="249"/>
      <c r="B37" s="8" t="s">
        <v>24</v>
      </c>
      <c r="C37" s="8" t="s">
        <v>16</v>
      </c>
      <c r="D37" s="4">
        <v>0</v>
      </c>
      <c r="E37" s="4">
        <v>0</v>
      </c>
      <c r="F37" s="4">
        <v>0</v>
      </c>
      <c r="G37" s="21">
        <v>0</v>
      </c>
    </row>
    <row r="38" spans="1:7">
      <c r="A38" s="249"/>
      <c r="B38" s="8" t="s">
        <v>25</v>
      </c>
      <c r="C38" s="8" t="s">
        <v>16</v>
      </c>
      <c r="D38" s="4">
        <v>0</v>
      </c>
      <c r="E38" s="4">
        <v>0</v>
      </c>
      <c r="F38" s="4">
        <v>0</v>
      </c>
      <c r="G38" s="21">
        <v>0</v>
      </c>
    </row>
    <row r="39" spans="1:7">
      <c r="A39" s="249"/>
      <c r="B39" s="8" t="s">
        <v>26</v>
      </c>
      <c r="C39" s="8" t="s">
        <v>13</v>
      </c>
      <c r="D39" s="4">
        <v>0.81823870819972244</v>
      </c>
      <c r="E39" s="4">
        <v>2.2056403933444497</v>
      </c>
      <c r="F39" s="4">
        <v>3.3103527600918681</v>
      </c>
      <c r="G39" s="21">
        <v>4.6438217763087328</v>
      </c>
    </row>
    <row r="40" spans="1:7">
      <c r="A40" s="249"/>
      <c r="B40" s="8" t="s">
        <v>27</v>
      </c>
      <c r="C40" s="8" t="s">
        <v>13</v>
      </c>
      <c r="D40" s="4">
        <v>3.1304951684997055</v>
      </c>
      <c r="E40" s="4">
        <v>1.3038404810405297</v>
      </c>
      <c r="F40" s="4">
        <v>0.54772255750516607</v>
      </c>
      <c r="G40" s="21">
        <v>3.3615472627943221</v>
      </c>
    </row>
    <row r="41" spans="1:7">
      <c r="A41" s="249"/>
      <c r="B41" s="8" t="s">
        <v>28</v>
      </c>
      <c r="C41" s="8" t="s">
        <v>29</v>
      </c>
      <c r="D41" s="4">
        <v>5.3871055633476104</v>
      </c>
      <c r="E41" s="4">
        <v>3.4465096922754812</v>
      </c>
      <c r="F41" s="4">
        <v>3.1629263529648961</v>
      </c>
      <c r="G41" s="21">
        <v>1.4523168756891798</v>
      </c>
    </row>
    <row r="42" spans="1:7">
      <c r="A42" s="249"/>
      <c r="B42" s="8" t="s">
        <v>30</v>
      </c>
      <c r="C42" s="8" t="s">
        <v>29</v>
      </c>
      <c r="D42" s="4">
        <v>4.0223897498874956</v>
      </c>
      <c r="E42" s="4">
        <v>1.649876904499241</v>
      </c>
      <c r="F42" s="4">
        <v>5.9407374710552565</v>
      </c>
      <c r="G42" s="21">
        <v>3.6222244960797205</v>
      </c>
    </row>
    <row r="43" spans="1:7" ht="14.5" thickBot="1">
      <c r="A43" s="250"/>
      <c r="B43" s="43" t="s">
        <v>31</v>
      </c>
      <c r="C43" s="43" t="s">
        <v>32</v>
      </c>
      <c r="D43" s="23">
        <v>1.4237190248739465E-2</v>
      </c>
      <c r="E43" s="23">
        <v>2.5807012181686406E-3</v>
      </c>
      <c r="F43" s="23">
        <v>1.6968718279052539E-3</v>
      </c>
      <c r="G43" s="24">
        <v>1.4760933670490168E-3</v>
      </c>
    </row>
    <row r="44" spans="1:7">
      <c r="A44" s="239" t="s">
        <v>68</v>
      </c>
      <c r="B44" s="42" t="s">
        <v>6</v>
      </c>
      <c r="C44" s="42" t="s">
        <v>7</v>
      </c>
      <c r="D44" s="18">
        <v>0.45824244534323805</v>
      </c>
      <c r="E44" s="18">
        <v>0.41303176534500879</v>
      </c>
      <c r="F44" s="18">
        <v>0.45877276990965615</v>
      </c>
      <c r="G44" s="19">
        <v>0.2923022901107164</v>
      </c>
    </row>
    <row r="45" spans="1:7">
      <c r="A45" s="258"/>
      <c r="B45" s="8" t="s">
        <v>8</v>
      </c>
      <c r="C45" s="8" t="s">
        <v>9</v>
      </c>
      <c r="D45" s="4">
        <v>2.5457913630179952E-2</v>
      </c>
      <c r="E45" s="4">
        <v>6.9289006097132913E-2</v>
      </c>
      <c r="F45" s="4">
        <v>0.15292425663655201</v>
      </c>
      <c r="G45" s="21">
        <v>0.11810193539826933</v>
      </c>
    </row>
    <row r="46" spans="1:7">
      <c r="A46" s="258"/>
      <c r="B46" s="8" t="s">
        <v>10</v>
      </c>
      <c r="C46" s="8" t="s">
        <v>11</v>
      </c>
      <c r="D46" s="4">
        <v>19.045351482024472</v>
      </c>
      <c r="E46" s="4">
        <v>43.561127185473453</v>
      </c>
      <c r="F46" s="4">
        <v>87.558254457693437</v>
      </c>
      <c r="G46" s="21">
        <v>73.36023477317714</v>
      </c>
    </row>
    <row r="47" spans="1:7">
      <c r="A47" s="258"/>
      <c r="B47" s="8" t="s">
        <v>12</v>
      </c>
      <c r="C47" s="8" t="s">
        <v>13</v>
      </c>
      <c r="D47" s="4">
        <v>1.8813805550489168E-2</v>
      </c>
      <c r="E47" s="4">
        <v>6.2370433208022442E-2</v>
      </c>
      <c r="F47" s="4">
        <v>4.740586497039731E-2</v>
      </c>
      <c r="G47" s="21">
        <v>4.9550559100817758E-2</v>
      </c>
    </row>
    <row r="48" spans="1:7">
      <c r="A48" s="258"/>
      <c r="B48" s="8" t="s">
        <v>14</v>
      </c>
      <c r="C48" s="8" t="s">
        <v>13</v>
      </c>
      <c r="D48" s="4">
        <v>2.0963137289060529E-2</v>
      </c>
      <c r="E48" s="4">
        <v>1.0002660778825303</v>
      </c>
      <c r="F48" s="4">
        <v>1.2660944345456622</v>
      </c>
      <c r="G48" s="21">
        <v>1.0211804788148371</v>
      </c>
    </row>
    <row r="49" spans="1:7">
      <c r="A49" s="258"/>
      <c r="B49" s="8" t="s">
        <v>15</v>
      </c>
      <c r="C49" s="8" t="s">
        <v>16</v>
      </c>
      <c r="D49" s="4">
        <v>0.76417073300388016</v>
      </c>
      <c r="E49" s="4">
        <v>0.89025828524823347</v>
      </c>
      <c r="F49" s="4">
        <v>0.9540154971737389</v>
      </c>
      <c r="G49" s="21">
        <v>0.974350620084667</v>
      </c>
    </row>
    <row r="50" spans="1:7">
      <c r="A50" s="258"/>
      <c r="B50" s="8" t="s">
        <v>17</v>
      </c>
      <c r="C50" s="8" t="s">
        <v>16</v>
      </c>
      <c r="D50" s="4">
        <v>1.0800232665253289</v>
      </c>
      <c r="E50" s="4">
        <v>1.0441063695571986</v>
      </c>
      <c r="F50" s="4">
        <v>1.0564358926152337</v>
      </c>
      <c r="G50" s="21">
        <v>1.2653218284866399</v>
      </c>
    </row>
    <row r="51" spans="1:7">
      <c r="A51" s="258"/>
      <c r="B51" s="8" t="s">
        <v>18</v>
      </c>
      <c r="C51" s="8" t="s">
        <v>16</v>
      </c>
      <c r="D51" s="4">
        <v>0.4612055629424503</v>
      </c>
      <c r="E51" s="4">
        <v>0.51472903928836067</v>
      </c>
      <c r="F51" s="4">
        <v>0.56235349654654498</v>
      </c>
      <c r="G51" s="21">
        <v>0.31994786791537422</v>
      </c>
    </row>
    <row r="52" spans="1:7">
      <c r="A52" s="258"/>
      <c r="B52" s="8" t="s">
        <v>19</v>
      </c>
      <c r="C52" s="8" t="s">
        <v>16</v>
      </c>
      <c r="D52" s="4">
        <v>0.71974752766482808</v>
      </c>
      <c r="E52" s="4">
        <v>0.94755083863289069</v>
      </c>
      <c r="F52" s="4">
        <v>0.93945396719339358</v>
      </c>
      <c r="G52" s="21">
        <v>0.53778016723759392</v>
      </c>
    </row>
    <row r="53" spans="1:7">
      <c r="A53" s="258"/>
      <c r="B53" s="8" t="s">
        <v>20</v>
      </c>
      <c r="C53" s="8" t="s">
        <v>16</v>
      </c>
      <c r="D53" s="4">
        <v>0.48712049531211987</v>
      </c>
      <c r="E53" s="4">
        <v>0.55561102696153364</v>
      </c>
      <c r="F53" s="4">
        <v>0.88986398407635869</v>
      </c>
      <c r="G53" s="21">
        <v>0.65661378495859823</v>
      </c>
    </row>
    <row r="54" spans="1:7">
      <c r="A54" s="258"/>
      <c r="B54" s="8" t="s">
        <v>21</v>
      </c>
      <c r="C54" s="8" t="s">
        <v>16</v>
      </c>
      <c r="D54" s="4">
        <v>0</v>
      </c>
      <c r="E54" s="4">
        <v>0</v>
      </c>
      <c r="F54" s="4">
        <v>0</v>
      </c>
      <c r="G54" s="21">
        <v>0</v>
      </c>
    </row>
    <row r="55" spans="1:7">
      <c r="A55" s="258"/>
      <c r="B55" s="8" t="s">
        <v>22</v>
      </c>
      <c r="C55" s="8" t="s">
        <v>16</v>
      </c>
      <c r="D55" s="4">
        <v>0</v>
      </c>
      <c r="E55" s="4">
        <v>0</v>
      </c>
      <c r="F55" s="4">
        <v>0</v>
      </c>
      <c r="G55" s="21">
        <v>0</v>
      </c>
    </row>
    <row r="56" spans="1:7">
      <c r="A56" s="258"/>
      <c r="B56" s="8" t="s">
        <v>23</v>
      </c>
      <c r="C56" s="8" t="s">
        <v>16</v>
      </c>
      <c r="D56" s="4">
        <v>0</v>
      </c>
      <c r="E56" s="4">
        <v>0</v>
      </c>
      <c r="F56" s="4">
        <v>0</v>
      </c>
      <c r="G56" s="21">
        <v>0</v>
      </c>
    </row>
    <row r="57" spans="1:7">
      <c r="A57" s="258"/>
      <c r="B57" s="8" t="s">
        <v>24</v>
      </c>
      <c r="C57" s="8" t="s">
        <v>16</v>
      </c>
      <c r="D57" s="4">
        <v>0</v>
      </c>
      <c r="E57" s="4">
        <v>0</v>
      </c>
      <c r="F57" s="4">
        <v>0</v>
      </c>
      <c r="G57" s="21">
        <v>0</v>
      </c>
    </row>
    <row r="58" spans="1:7">
      <c r="A58" s="258"/>
      <c r="B58" s="8" t="s">
        <v>25</v>
      </c>
      <c r="C58" s="8" t="s">
        <v>16</v>
      </c>
      <c r="D58" s="4">
        <v>0</v>
      </c>
      <c r="E58" s="4">
        <v>0</v>
      </c>
      <c r="F58" s="4">
        <v>0</v>
      </c>
      <c r="G58" s="21">
        <v>0</v>
      </c>
    </row>
    <row r="59" spans="1:7">
      <c r="A59" s="258"/>
      <c r="B59" s="8" t="s">
        <v>26</v>
      </c>
      <c r="C59" s="8" t="s">
        <v>13</v>
      </c>
      <c r="D59" s="4">
        <v>1.0866717059816735</v>
      </c>
      <c r="E59" s="4">
        <v>2.8426179212822742</v>
      </c>
      <c r="F59" s="4">
        <v>6.5482267500590954</v>
      </c>
      <c r="G59" s="21">
        <v>6.0781056659451052</v>
      </c>
    </row>
    <row r="60" spans="1:7">
      <c r="A60" s="258"/>
      <c r="B60" s="8" t="s">
        <v>27</v>
      </c>
      <c r="C60" s="8" t="s">
        <v>13</v>
      </c>
      <c r="D60" s="4">
        <v>0</v>
      </c>
      <c r="E60" s="4">
        <v>4.0249223594996213</v>
      </c>
      <c r="F60" s="4">
        <v>1.3416407864998738</v>
      </c>
      <c r="G60" s="21">
        <v>2.5495097567963922</v>
      </c>
    </row>
    <row r="61" spans="1:7">
      <c r="A61" s="258"/>
      <c r="B61" s="8" t="s">
        <v>28</v>
      </c>
      <c r="C61" s="8" t="s">
        <v>29</v>
      </c>
      <c r="D61" s="4">
        <v>1.5349469700108422</v>
      </c>
      <c r="E61" s="4">
        <v>2.2185640016913091</v>
      </c>
      <c r="F61" s="4">
        <v>3.1662992274762969</v>
      </c>
      <c r="G61" s="21">
        <v>0.8134111302316599</v>
      </c>
    </row>
    <row r="62" spans="1:7">
      <c r="A62" s="258"/>
      <c r="B62" s="8" t="s">
        <v>30</v>
      </c>
      <c r="C62" s="8" t="s">
        <v>29</v>
      </c>
      <c r="D62" s="4">
        <v>8.2322778318032981</v>
      </c>
      <c r="E62" s="4">
        <v>4.2657506607864484</v>
      </c>
      <c r="F62" s="4">
        <v>6.0549968208084177</v>
      </c>
      <c r="G62" s="21">
        <v>12.005173122450172</v>
      </c>
    </row>
    <row r="63" spans="1:7" ht="14.5" thickBot="1">
      <c r="A63" s="259"/>
      <c r="B63" s="43" t="s">
        <v>31</v>
      </c>
      <c r="C63" s="43" t="s">
        <v>32</v>
      </c>
      <c r="D63" s="23">
        <v>3.176807255979405E-3</v>
      </c>
      <c r="E63" s="23">
        <v>2.4471238679861242E-3</v>
      </c>
      <c r="F63" s="23">
        <v>2.9579710365082793E-3</v>
      </c>
      <c r="G63" s="24">
        <v>3.4873296848370941E-3</v>
      </c>
    </row>
    <row r="64" spans="1:7">
      <c r="A64" s="239" t="s">
        <v>69</v>
      </c>
      <c r="B64" s="42" t="s">
        <v>6</v>
      </c>
      <c r="C64" s="42" t="s">
        <v>7</v>
      </c>
      <c r="D64" s="18">
        <v>0.14675966604631074</v>
      </c>
      <c r="E64" s="18">
        <v>0.10665504479745204</v>
      </c>
      <c r="F64" s="18">
        <v>0.11838635279080921</v>
      </c>
      <c r="G64" s="19">
        <v>6.3874449414190348E-2</v>
      </c>
    </row>
    <row r="65" spans="1:7">
      <c r="A65" s="258"/>
      <c r="B65" s="8" t="s">
        <v>8</v>
      </c>
      <c r="C65" s="8" t="s">
        <v>9</v>
      </c>
      <c r="D65" s="4">
        <v>8.1533147803506054E-3</v>
      </c>
      <c r="E65" s="4">
        <v>1.7892139707675229E-2</v>
      </c>
      <c r="F65" s="4">
        <v>3.9462117596936401E-2</v>
      </c>
      <c r="G65" s="21">
        <v>2.5807858349167812E-2</v>
      </c>
    </row>
    <row r="66" spans="1:7">
      <c r="A66" s="258"/>
      <c r="B66" s="8" t="s">
        <v>10</v>
      </c>
      <c r="C66" s="8" t="s">
        <v>11</v>
      </c>
      <c r="D66" s="4">
        <v>356.85698529337134</v>
      </c>
      <c r="E66" s="4">
        <v>459.98868692311294</v>
      </c>
      <c r="F66" s="4">
        <v>557.2522569119526</v>
      </c>
      <c r="G66" s="21">
        <v>375.55229859923219</v>
      </c>
    </row>
    <row r="67" spans="1:7">
      <c r="A67" s="258"/>
      <c r="B67" s="8" t="s">
        <v>12</v>
      </c>
      <c r="C67" s="8" t="s">
        <v>13</v>
      </c>
      <c r="D67" s="4">
        <v>0.41369521249483399</v>
      </c>
      <c r="E67" s="4">
        <v>0.32046332690445256</v>
      </c>
      <c r="F67" s="4">
        <v>0.29432013840726273</v>
      </c>
      <c r="G67" s="21">
        <v>0.15382074260331327</v>
      </c>
    </row>
    <row r="68" spans="1:7">
      <c r="A68" s="258"/>
      <c r="B68" s="8" t="s">
        <v>14</v>
      </c>
      <c r="C68" s="8" t="s">
        <v>13</v>
      </c>
      <c r="D68" s="4">
        <v>9.2641627745880246</v>
      </c>
      <c r="E68" s="4">
        <v>1.807055400022368</v>
      </c>
      <c r="F68" s="4">
        <v>0.84624342224179216</v>
      </c>
      <c r="G68" s="21">
        <v>0.53857360076177141</v>
      </c>
    </row>
    <row r="69" spans="1:7">
      <c r="A69" s="258"/>
      <c r="B69" s="8" t="s">
        <v>15</v>
      </c>
      <c r="C69" s="8" t="s">
        <v>16</v>
      </c>
      <c r="D69" s="4">
        <v>18.986562574901349</v>
      </c>
      <c r="E69" s="4">
        <v>7.9492753760268142</v>
      </c>
      <c r="F69" s="4">
        <v>5.1111538558130851</v>
      </c>
      <c r="G69" s="21">
        <v>5.3574556967807725</v>
      </c>
    </row>
    <row r="70" spans="1:7">
      <c r="A70" s="258"/>
      <c r="B70" s="8" t="s">
        <v>17</v>
      </c>
      <c r="C70" s="8" t="s">
        <v>16</v>
      </c>
      <c r="D70" s="4">
        <v>15.952336700859156</v>
      </c>
      <c r="E70" s="4">
        <v>2.0761696595248091</v>
      </c>
      <c r="F70" s="4">
        <v>3.1145423151248202</v>
      </c>
      <c r="G70" s="21">
        <v>9.6052229461327272</v>
      </c>
    </row>
    <row r="71" spans="1:7">
      <c r="A71" s="258"/>
      <c r="B71" s="8" t="s">
        <v>18</v>
      </c>
      <c r="C71" s="8" t="s">
        <v>16</v>
      </c>
      <c r="D71" s="4">
        <v>18.22847492177096</v>
      </c>
      <c r="E71" s="4">
        <v>6.3414143589405469</v>
      </c>
      <c r="F71" s="4">
        <v>4.2384158964787115</v>
      </c>
      <c r="G71" s="21">
        <v>4.2193552444892832</v>
      </c>
    </row>
    <row r="72" spans="1:7">
      <c r="A72" s="258"/>
      <c r="B72" s="8" t="s">
        <v>19</v>
      </c>
      <c r="C72" s="8" t="s">
        <v>16</v>
      </c>
      <c r="D72" s="4">
        <v>3.2783374437480131</v>
      </c>
      <c r="E72" s="4">
        <v>7.7234734547394286</v>
      </c>
      <c r="F72" s="4">
        <v>4.8703762322698081</v>
      </c>
      <c r="G72" s="21">
        <v>5.4196098425040198</v>
      </c>
    </row>
    <row r="73" spans="1:7">
      <c r="A73" s="258"/>
      <c r="B73" s="8" t="s">
        <v>20</v>
      </c>
      <c r="C73" s="8" t="s">
        <v>16</v>
      </c>
      <c r="D73" s="4">
        <v>0.85441305437151926</v>
      </c>
      <c r="E73" s="4">
        <v>1.6146653414993035</v>
      </c>
      <c r="F73" s="4">
        <v>0.89216817377273039</v>
      </c>
      <c r="G73" s="21">
        <v>1.187861016257926</v>
      </c>
    </row>
    <row r="74" spans="1:7">
      <c r="A74" s="258"/>
      <c r="B74" s="8" t="s">
        <v>21</v>
      </c>
      <c r="C74" s="8" t="s">
        <v>16</v>
      </c>
      <c r="D74" s="4">
        <v>0</v>
      </c>
      <c r="E74" s="4">
        <v>0</v>
      </c>
      <c r="F74" s="4">
        <v>0</v>
      </c>
      <c r="G74" s="21">
        <v>0</v>
      </c>
    </row>
    <row r="75" spans="1:7">
      <c r="A75" s="258"/>
      <c r="B75" s="8" t="s">
        <v>22</v>
      </c>
      <c r="C75" s="8" t="s">
        <v>16</v>
      </c>
      <c r="D75" s="4">
        <v>0</v>
      </c>
      <c r="E75" s="4">
        <v>0</v>
      </c>
      <c r="F75" s="4">
        <v>0</v>
      </c>
      <c r="G75" s="21">
        <v>0</v>
      </c>
    </row>
    <row r="76" spans="1:7">
      <c r="A76" s="258"/>
      <c r="B76" s="8" t="s">
        <v>23</v>
      </c>
      <c r="C76" s="8" t="s">
        <v>16</v>
      </c>
      <c r="D76" s="4">
        <v>0</v>
      </c>
      <c r="E76" s="4">
        <v>0</v>
      </c>
      <c r="F76" s="4">
        <v>0</v>
      </c>
      <c r="G76" s="21">
        <v>0</v>
      </c>
    </row>
    <row r="77" spans="1:7">
      <c r="A77" s="258"/>
      <c r="B77" s="8" t="s">
        <v>24</v>
      </c>
      <c r="C77" s="8" t="s">
        <v>16</v>
      </c>
      <c r="D77" s="4">
        <v>0</v>
      </c>
      <c r="E77" s="4">
        <v>0</v>
      </c>
      <c r="F77" s="4">
        <v>0</v>
      </c>
      <c r="G77" s="21">
        <v>0</v>
      </c>
    </row>
    <row r="78" spans="1:7">
      <c r="A78" s="258"/>
      <c r="B78" s="8" t="s">
        <v>25</v>
      </c>
      <c r="C78" s="8" t="s">
        <v>16</v>
      </c>
      <c r="D78" s="4">
        <v>0</v>
      </c>
      <c r="E78" s="4">
        <v>0</v>
      </c>
      <c r="F78" s="4">
        <v>0</v>
      </c>
      <c r="G78" s="21">
        <v>0</v>
      </c>
    </row>
    <row r="79" spans="1:7">
      <c r="A79" s="258"/>
      <c r="B79" s="8" t="s">
        <v>26</v>
      </c>
      <c r="C79" s="8" t="s">
        <v>13</v>
      </c>
      <c r="D79" s="4">
        <v>2.6425389201380631</v>
      </c>
      <c r="E79" s="4">
        <v>5.148271030753258</v>
      </c>
      <c r="F79" s="4">
        <v>6.1814086177828429</v>
      </c>
      <c r="G79" s="21">
        <v>5.6437273986805288</v>
      </c>
    </row>
    <row r="80" spans="1:7">
      <c r="A80" s="258"/>
      <c r="B80" s="8" t="s">
        <v>27</v>
      </c>
      <c r="C80" s="8" t="s">
        <v>13</v>
      </c>
      <c r="D80" s="4">
        <v>8.228000972289685</v>
      </c>
      <c r="E80" s="4">
        <v>9.5655632348544959</v>
      </c>
      <c r="F80" s="4">
        <v>4.2661458015403086</v>
      </c>
      <c r="G80" s="21">
        <v>5.7619441163551732</v>
      </c>
    </row>
    <row r="81" spans="1:7">
      <c r="A81" s="258"/>
      <c r="B81" s="8" t="s">
        <v>28</v>
      </c>
      <c r="C81" s="8" t="s">
        <v>29</v>
      </c>
      <c r="D81" s="4">
        <v>1.4300009373678959</v>
      </c>
      <c r="E81" s="4">
        <v>1.1604351203961518</v>
      </c>
      <c r="F81" s="4">
        <v>1.5178349410426681</v>
      </c>
      <c r="G81" s="21">
        <v>0.89034818419332784</v>
      </c>
    </row>
    <row r="82" spans="1:7">
      <c r="A82" s="258"/>
      <c r="B82" s="8" t="s">
        <v>30</v>
      </c>
      <c r="C82" s="8" t="s">
        <v>29</v>
      </c>
      <c r="D82" s="4">
        <v>4.6369218453625018</v>
      </c>
      <c r="E82" s="4">
        <v>1.4035335051219822</v>
      </c>
      <c r="F82" s="4">
        <v>1.2324861053983531</v>
      </c>
      <c r="G82" s="21">
        <v>0.87408106031420196</v>
      </c>
    </row>
    <row r="83" spans="1:7" ht="14.5" thickBot="1">
      <c r="A83" s="259"/>
      <c r="B83" s="43" t="s">
        <v>31</v>
      </c>
      <c r="C83" s="43" t="s">
        <v>32</v>
      </c>
      <c r="D83" s="23">
        <v>1.0956736348691255E-3</v>
      </c>
      <c r="E83" s="23">
        <v>7.5199413058713797E-4</v>
      </c>
      <c r="F83" s="23">
        <v>2.1804755256830461E-4</v>
      </c>
      <c r="G83" s="24">
        <v>2.1314163493355511E-4</v>
      </c>
    </row>
    <row r="84" spans="1:7">
      <c r="A84" s="239" t="s">
        <v>71</v>
      </c>
      <c r="B84" s="42" t="s">
        <v>6</v>
      </c>
      <c r="C84" s="42" t="s">
        <v>7</v>
      </c>
      <c r="D84" s="18">
        <v>0.37909394618226766</v>
      </c>
      <c r="E84" s="18">
        <v>0.37592009232193563</v>
      </c>
      <c r="F84" s="18">
        <v>0.27959238131755498</v>
      </c>
      <c r="G84" s="19">
        <v>0.51508755060393974</v>
      </c>
    </row>
    <row r="85" spans="1:7">
      <c r="A85" s="258"/>
      <c r="B85" s="8" t="s">
        <v>8</v>
      </c>
      <c r="C85" s="8" t="s">
        <v>9</v>
      </c>
      <c r="D85" s="4">
        <v>2.1060774787903771E-2</v>
      </c>
      <c r="E85" s="4">
        <v>6.3063259909735894E-2</v>
      </c>
      <c r="F85" s="4">
        <v>9.3197460439185004E-2</v>
      </c>
      <c r="G85" s="21">
        <v>0.20811618206219781</v>
      </c>
    </row>
    <row r="86" spans="1:7">
      <c r="A86" s="258"/>
      <c r="B86" s="8" t="s">
        <v>10</v>
      </c>
      <c r="C86" s="8" t="s">
        <v>11</v>
      </c>
      <c r="D86" s="4">
        <v>51.284067654691029</v>
      </c>
      <c r="E86" s="4">
        <v>127.31162667147342</v>
      </c>
      <c r="F86" s="4">
        <v>154.40890676428887</v>
      </c>
      <c r="G86" s="21">
        <v>268.83949103774779</v>
      </c>
    </row>
    <row r="87" spans="1:7">
      <c r="A87" s="258"/>
      <c r="B87" s="8" t="s">
        <v>12</v>
      </c>
      <c r="C87" s="8" t="s">
        <v>13</v>
      </c>
      <c r="D87" s="4">
        <v>7.6066590248456259E-2</v>
      </c>
      <c r="E87" s="4">
        <v>9.4072242349157453E-2</v>
      </c>
      <c r="F87" s="4">
        <v>5.6993163981546899E-2</v>
      </c>
      <c r="G87" s="21">
        <v>0.17365703184501263</v>
      </c>
    </row>
    <row r="88" spans="1:7">
      <c r="A88" s="258"/>
      <c r="B88" s="8" t="s">
        <v>14</v>
      </c>
      <c r="C88" s="8" t="s">
        <v>13</v>
      </c>
      <c r="D88" s="4">
        <v>0.60683927546756578</v>
      </c>
      <c r="E88" s="4">
        <v>0.73833903543697299</v>
      </c>
      <c r="F88" s="4">
        <v>1.3592180225455002</v>
      </c>
      <c r="G88" s="21">
        <v>0.79442822894047516</v>
      </c>
    </row>
    <row r="89" spans="1:7">
      <c r="A89" s="258"/>
      <c r="B89" s="8" t="s">
        <v>15</v>
      </c>
      <c r="C89" s="8" t="s">
        <v>16</v>
      </c>
      <c r="D89" s="4">
        <v>15.669232557403323</v>
      </c>
      <c r="E89" s="4">
        <v>18.266724330690423</v>
      </c>
      <c r="F89" s="4">
        <v>15.076368350149664</v>
      </c>
      <c r="G89" s="21">
        <v>14.020645069296194</v>
      </c>
    </row>
    <row r="90" spans="1:7">
      <c r="A90" s="258"/>
      <c r="B90" s="8" t="s">
        <v>17</v>
      </c>
      <c r="C90" s="8" t="s">
        <v>16</v>
      </c>
      <c r="D90" s="4">
        <v>15.02760365667935</v>
      </c>
      <c r="E90" s="4">
        <v>5.8198442734970728</v>
      </c>
      <c r="F90" s="4">
        <v>5.4895277434582335</v>
      </c>
      <c r="G90" s="21">
        <v>4.8180848647426542</v>
      </c>
    </row>
    <row r="91" spans="1:7">
      <c r="A91" s="258"/>
      <c r="B91" s="8" t="s">
        <v>18</v>
      </c>
      <c r="C91" s="8" t="s">
        <v>16</v>
      </c>
      <c r="D91" s="4">
        <v>15.461799308424744</v>
      </c>
      <c r="E91" s="4">
        <v>2.9986983972444974</v>
      </c>
      <c r="F91" s="4">
        <v>0.49430966105835417</v>
      </c>
      <c r="G91" s="21">
        <v>0.92816971693624006</v>
      </c>
    </row>
    <row r="92" spans="1:7">
      <c r="A92" s="258"/>
      <c r="B92" s="8" t="s">
        <v>19</v>
      </c>
      <c r="C92" s="8" t="s">
        <v>16</v>
      </c>
      <c r="D92" s="4">
        <v>1.0427485063907891</v>
      </c>
      <c r="E92" s="4">
        <v>12.483211217436903</v>
      </c>
      <c r="F92" s="4">
        <v>9.8713977947555502</v>
      </c>
      <c r="G92" s="21">
        <v>9.2485784119335595</v>
      </c>
    </row>
    <row r="93" spans="1:7">
      <c r="A93" s="258"/>
      <c r="B93" s="8" t="s">
        <v>20</v>
      </c>
      <c r="C93" s="8" t="s">
        <v>16</v>
      </c>
      <c r="D93" s="4">
        <v>0.24666661992802907</v>
      </c>
      <c r="E93" s="4">
        <v>15.340269134428484</v>
      </c>
      <c r="F93" s="4">
        <v>14.591669794529279</v>
      </c>
      <c r="G93" s="21">
        <v>13.201408507597689</v>
      </c>
    </row>
    <row r="94" spans="1:7">
      <c r="A94" s="258"/>
      <c r="B94" s="8" t="s">
        <v>21</v>
      </c>
      <c r="C94" s="8" t="s">
        <v>16</v>
      </c>
      <c r="D94" s="4">
        <v>0</v>
      </c>
      <c r="E94" s="4">
        <v>0</v>
      </c>
      <c r="F94" s="4">
        <v>0</v>
      </c>
      <c r="G94" s="21">
        <v>0</v>
      </c>
    </row>
    <row r="95" spans="1:7">
      <c r="A95" s="258"/>
      <c r="B95" s="8" t="s">
        <v>22</v>
      </c>
      <c r="C95" s="8" t="s">
        <v>16</v>
      </c>
      <c r="D95" s="4">
        <v>0</v>
      </c>
      <c r="E95" s="4">
        <v>0</v>
      </c>
      <c r="F95" s="4">
        <v>0</v>
      </c>
      <c r="G95" s="21">
        <v>0</v>
      </c>
    </row>
    <row r="96" spans="1:7">
      <c r="A96" s="258"/>
      <c r="B96" s="8" t="s">
        <v>23</v>
      </c>
      <c r="C96" s="8" t="s">
        <v>16</v>
      </c>
      <c r="D96" s="4">
        <v>0</v>
      </c>
      <c r="E96" s="4">
        <v>0</v>
      </c>
      <c r="F96" s="4">
        <v>0</v>
      </c>
      <c r="G96" s="21">
        <v>0</v>
      </c>
    </row>
    <row r="97" spans="1:7">
      <c r="A97" s="258"/>
      <c r="B97" s="8" t="s">
        <v>24</v>
      </c>
      <c r="C97" s="8" t="s">
        <v>16</v>
      </c>
      <c r="D97" s="4">
        <v>0</v>
      </c>
      <c r="E97" s="4">
        <v>0</v>
      </c>
      <c r="F97" s="4">
        <v>0</v>
      </c>
      <c r="G97" s="21">
        <v>0</v>
      </c>
    </row>
    <row r="98" spans="1:7">
      <c r="A98" s="258"/>
      <c r="B98" s="8" t="s">
        <v>25</v>
      </c>
      <c r="C98" s="8" t="s">
        <v>16</v>
      </c>
      <c r="D98" s="4">
        <v>0</v>
      </c>
      <c r="E98" s="4">
        <v>0</v>
      </c>
      <c r="F98" s="4">
        <v>0</v>
      </c>
      <c r="G98" s="21">
        <v>0</v>
      </c>
    </row>
    <row r="99" spans="1:7">
      <c r="A99" s="258"/>
      <c r="B99" s="8" t="s">
        <v>26</v>
      </c>
      <c r="C99" s="8" t="s">
        <v>13</v>
      </c>
      <c r="D99" s="4">
        <v>1.1588331910168517</v>
      </c>
      <c r="E99" s="4">
        <v>3.5484084958008837</v>
      </c>
      <c r="F99" s="4">
        <v>6.4332802845325308</v>
      </c>
      <c r="G99" s="21">
        <v>4.9820031055996665</v>
      </c>
    </row>
    <row r="100" spans="1:7">
      <c r="A100" s="258"/>
      <c r="B100" s="8" t="s">
        <v>27</v>
      </c>
      <c r="C100" s="8" t="s">
        <v>13</v>
      </c>
      <c r="D100" s="4">
        <v>8.3546394296821695</v>
      </c>
      <c r="E100" s="4">
        <v>4.3931765272977596</v>
      </c>
      <c r="F100" s="4">
        <v>7.0922492905988577</v>
      </c>
      <c r="G100" s="21">
        <v>7.5299402388066801</v>
      </c>
    </row>
    <row r="101" spans="1:7">
      <c r="A101" s="258"/>
      <c r="B101" s="8" t="s">
        <v>28</v>
      </c>
      <c r="C101" s="8" t="s">
        <v>29</v>
      </c>
      <c r="D101" s="4">
        <v>1.578338322948259</v>
      </c>
      <c r="E101" s="4">
        <v>1.0194437572339747</v>
      </c>
      <c r="F101" s="4">
        <v>2.3844605461404869</v>
      </c>
      <c r="G101" s="21">
        <v>2.7125719539204005</v>
      </c>
    </row>
    <row r="102" spans="1:7">
      <c r="A102" s="258"/>
      <c r="B102" s="8" t="s">
        <v>30</v>
      </c>
      <c r="C102" s="8" t="s">
        <v>29</v>
      </c>
      <c r="D102" s="4">
        <v>5.3779606915633016</v>
      </c>
      <c r="E102" s="4">
        <v>5.6920717054513617</v>
      </c>
      <c r="F102" s="4">
        <v>4.1744638577906006</v>
      </c>
      <c r="G102" s="21">
        <v>2.2666450317594933</v>
      </c>
    </row>
    <row r="103" spans="1:7" ht="14.5" thickBot="1">
      <c r="A103" s="259"/>
      <c r="B103" s="43" t="s">
        <v>31</v>
      </c>
      <c r="C103" s="43" t="s">
        <v>32</v>
      </c>
      <c r="D103" s="23">
        <v>2.1545558027970067E-3</v>
      </c>
      <c r="E103" s="23">
        <v>4.1695612285857992E-3</v>
      </c>
      <c r="F103" s="23">
        <v>3.3701405436866358E-3</v>
      </c>
      <c r="G103" s="24">
        <v>1.9212954615990541E-3</v>
      </c>
    </row>
    <row r="104" spans="1:7">
      <c r="A104" s="239" t="s">
        <v>75</v>
      </c>
      <c r="B104" s="119" t="s">
        <v>6</v>
      </c>
      <c r="C104" s="119" t="s">
        <v>7</v>
      </c>
      <c r="D104" s="120">
        <v>6.8663754912186716</v>
      </c>
      <c r="E104" s="120">
        <v>32.194788946338406</v>
      </c>
      <c r="F104" s="120">
        <v>0.30000303491766711</v>
      </c>
      <c r="G104" s="121">
        <v>0.34369009477053558</v>
      </c>
    </row>
    <row r="105" spans="1:7">
      <c r="A105" s="258"/>
      <c r="B105" s="118" t="s">
        <v>8</v>
      </c>
      <c r="C105" s="118" t="s">
        <v>9</v>
      </c>
      <c r="D105" s="117">
        <v>0.38146530506770393</v>
      </c>
      <c r="E105" s="117">
        <v>5.4009040339437027</v>
      </c>
      <c r="F105" s="117">
        <v>0.1000010116392225</v>
      </c>
      <c r="G105" s="122">
        <v>0.13886468475577191</v>
      </c>
    </row>
    <row r="106" spans="1:7">
      <c r="A106" s="258"/>
      <c r="B106" s="118" t="s">
        <v>10</v>
      </c>
      <c r="C106" s="118" t="s">
        <v>11</v>
      </c>
      <c r="D106" s="117">
        <v>7.2986152207598733</v>
      </c>
      <c r="E106" s="117">
        <v>16.211541642488978</v>
      </c>
      <c r="F106" s="117">
        <v>2.0284244120789525</v>
      </c>
      <c r="G106" s="122">
        <v>2.5920110632711211</v>
      </c>
    </row>
    <row r="107" spans="1:7">
      <c r="A107" s="258"/>
      <c r="B107" s="118" t="s">
        <v>12</v>
      </c>
      <c r="C107" s="118" t="s">
        <v>13</v>
      </c>
      <c r="D107" s="117">
        <v>2.0995501570958044E-2</v>
      </c>
      <c r="E107" s="117">
        <v>0.18388461565022954</v>
      </c>
      <c r="F107" s="117">
        <v>2.8013804269438121E-2</v>
      </c>
      <c r="G107" s="122">
        <v>2.7187451017880684E-2</v>
      </c>
    </row>
    <row r="108" spans="1:7">
      <c r="A108" s="258"/>
      <c r="B108" s="118" t="s">
        <v>14</v>
      </c>
      <c r="C108" s="118" t="s">
        <v>13</v>
      </c>
      <c r="D108" s="117">
        <v>1.3788847820566805</v>
      </c>
      <c r="E108" s="117">
        <v>0.67295117300588758</v>
      </c>
      <c r="F108" s="117">
        <v>1.61206995234388</v>
      </c>
      <c r="G108" s="122">
        <v>0.7706195508728676</v>
      </c>
    </row>
    <row r="109" spans="1:7">
      <c r="A109" s="258"/>
      <c r="B109" s="118" t="s">
        <v>15</v>
      </c>
      <c r="C109" s="118" t="s">
        <v>16</v>
      </c>
      <c r="D109" s="117">
        <v>4.9982566846105358</v>
      </c>
      <c r="E109" s="117">
        <v>246.40642092005208</v>
      </c>
      <c r="F109" s="117">
        <v>4.3888657924725765</v>
      </c>
      <c r="G109" s="122">
        <v>0.72790534508701743</v>
      </c>
    </row>
    <row r="110" spans="1:7">
      <c r="A110" s="258"/>
      <c r="B110" s="118" t="s">
        <v>17</v>
      </c>
      <c r="C110" s="118" t="s">
        <v>16</v>
      </c>
      <c r="D110" s="117">
        <v>0.74216043284348832</v>
      </c>
      <c r="E110" s="117">
        <v>106.94909482637486</v>
      </c>
      <c r="F110" s="117">
        <v>0.66021207463453813</v>
      </c>
      <c r="G110" s="122">
        <v>0.42052132822262128</v>
      </c>
    </row>
    <row r="111" spans="1:7">
      <c r="A111" s="258"/>
      <c r="B111" s="118" t="s">
        <v>18</v>
      </c>
      <c r="C111" s="118" t="s">
        <v>16</v>
      </c>
      <c r="D111" s="117">
        <v>0.34958864289087144</v>
      </c>
      <c r="E111" s="117">
        <v>6.3049926835213546</v>
      </c>
      <c r="F111" s="117">
        <v>2.4667549667362523</v>
      </c>
      <c r="G111" s="122">
        <v>1.9819917559870881</v>
      </c>
    </row>
    <row r="112" spans="1:7">
      <c r="A112" s="258"/>
      <c r="B112" s="118" t="s">
        <v>19</v>
      </c>
      <c r="C112" s="118" t="s">
        <v>16</v>
      </c>
      <c r="D112" s="117">
        <v>4.2584793962376146</v>
      </c>
      <c r="E112" s="117">
        <v>139.4941232022806</v>
      </c>
      <c r="F112" s="117">
        <v>3.7391989395536154</v>
      </c>
      <c r="G112" s="122">
        <v>0.3082211338532459</v>
      </c>
    </row>
    <row r="113" spans="1:7">
      <c r="A113" s="258"/>
      <c r="B113" s="118" t="s">
        <v>20</v>
      </c>
      <c r="C113" s="118" t="s">
        <v>16</v>
      </c>
      <c r="D113" s="117">
        <v>4.6540009052716709</v>
      </c>
      <c r="E113" s="117">
        <v>240.69446214835671</v>
      </c>
      <c r="F113" s="117">
        <v>3.1428062038504598</v>
      </c>
      <c r="G113" s="122">
        <v>1.3872440686328529</v>
      </c>
    </row>
    <row r="114" spans="1:7">
      <c r="A114" s="258"/>
      <c r="B114" s="118" t="s">
        <v>21</v>
      </c>
      <c r="C114" s="118" t="s">
        <v>16</v>
      </c>
      <c r="D114" s="117">
        <v>0</v>
      </c>
      <c r="E114" s="117">
        <v>0</v>
      </c>
      <c r="F114" s="117">
        <v>2.795084971874737E-2</v>
      </c>
      <c r="G114" s="122">
        <v>0</v>
      </c>
    </row>
    <row r="115" spans="1:7">
      <c r="A115" s="258"/>
      <c r="B115" s="118" t="s">
        <v>22</v>
      </c>
      <c r="C115" s="118" t="s">
        <v>16</v>
      </c>
      <c r="D115" s="117">
        <v>2.3271123174612589E-2</v>
      </c>
      <c r="E115" s="117">
        <v>0.11536891339079113</v>
      </c>
      <c r="F115" s="117">
        <v>0.14415718049307394</v>
      </c>
      <c r="G115" s="122">
        <v>0.13848669200558955</v>
      </c>
    </row>
    <row r="116" spans="1:7">
      <c r="A116" s="258"/>
      <c r="B116" s="118" t="s">
        <v>23</v>
      </c>
      <c r="C116" s="118" t="s">
        <v>16</v>
      </c>
      <c r="D116" s="117">
        <v>0</v>
      </c>
      <c r="E116" s="117">
        <v>0</v>
      </c>
      <c r="F116" s="117">
        <v>0.22360679774997896</v>
      </c>
      <c r="G116" s="122">
        <v>0</v>
      </c>
    </row>
    <row r="117" spans="1:7">
      <c r="A117" s="258"/>
      <c r="B117" s="118" t="s">
        <v>24</v>
      </c>
      <c r="C117" s="118" t="s">
        <v>16</v>
      </c>
      <c r="D117" s="117">
        <v>2.3271123174612589E-2</v>
      </c>
      <c r="E117" s="117">
        <v>0.11536891339079113</v>
      </c>
      <c r="F117" s="117">
        <v>0.13923524471132287</v>
      </c>
      <c r="G117" s="122">
        <v>0.13848669200558955</v>
      </c>
    </row>
    <row r="118" spans="1:7">
      <c r="A118" s="258"/>
      <c r="B118" s="118" t="s">
        <v>25</v>
      </c>
      <c r="C118" s="118" t="s">
        <v>16</v>
      </c>
      <c r="D118" s="117">
        <v>0</v>
      </c>
      <c r="E118" s="117">
        <v>0</v>
      </c>
      <c r="F118" s="117">
        <v>0.21830311495716226</v>
      </c>
      <c r="G118" s="122">
        <v>0</v>
      </c>
    </row>
    <row r="119" spans="1:7">
      <c r="A119" s="258"/>
      <c r="B119" s="118" t="s">
        <v>26</v>
      </c>
      <c r="C119" s="118" t="s">
        <v>13</v>
      </c>
      <c r="D119" s="117">
        <v>2.1855550251479903</v>
      </c>
      <c r="E119" s="117">
        <v>5.2407233054483227</v>
      </c>
      <c r="F119" s="117">
        <v>1.4793067464356049</v>
      </c>
      <c r="G119" s="122">
        <v>1.8743620186867804</v>
      </c>
    </row>
    <row r="120" spans="1:7">
      <c r="A120" s="258"/>
      <c r="B120" s="118" t="s">
        <v>27</v>
      </c>
      <c r="C120" s="118" t="s">
        <v>13</v>
      </c>
      <c r="D120" s="117">
        <v>0</v>
      </c>
      <c r="E120" s="117">
        <v>8.0498447189992426</v>
      </c>
      <c r="F120" s="117">
        <v>0</v>
      </c>
      <c r="G120" s="122">
        <v>0</v>
      </c>
    </row>
    <row r="121" spans="1:7">
      <c r="A121" s="258"/>
      <c r="B121" s="118" t="s">
        <v>28</v>
      </c>
      <c r="C121" s="118" t="s">
        <v>29</v>
      </c>
      <c r="D121" s="117">
        <v>3.0577778071108059</v>
      </c>
      <c r="E121" s="117">
        <v>5.5545401259064855</v>
      </c>
      <c r="F121" s="117">
        <v>0.96454946861636792</v>
      </c>
      <c r="G121" s="122">
        <v>1.2352524991760996</v>
      </c>
    </row>
    <row r="122" spans="1:7">
      <c r="A122" s="258"/>
      <c r="B122" s="118" t="s">
        <v>30</v>
      </c>
      <c r="C122" s="118" t="s">
        <v>29</v>
      </c>
      <c r="D122" s="117">
        <v>1.5247748030446917</v>
      </c>
      <c r="E122" s="117">
        <v>20.30346618929881</v>
      </c>
      <c r="F122" s="117">
        <v>14.836533506853948</v>
      </c>
      <c r="G122" s="122">
        <v>2.4391389464317057</v>
      </c>
    </row>
    <row r="123" spans="1:7" ht="14.5" thickBot="1">
      <c r="A123" s="259"/>
      <c r="B123" s="123" t="s">
        <v>31</v>
      </c>
      <c r="C123" s="123" t="s">
        <v>32</v>
      </c>
      <c r="D123" s="124">
        <v>3.5996942913333406E-2</v>
      </c>
      <c r="E123" s="124">
        <v>6.129885469236427E-2</v>
      </c>
      <c r="F123" s="124">
        <v>9.8822695985345908E-3</v>
      </c>
      <c r="G123" s="125">
        <v>9.4764697410430893E-3</v>
      </c>
    </row>
    <row r="124" spans="1:7">
      <c r="A124" s="239" t="s">
        <v>78</v>
      </c>
      <c r="B124" s="164" t="s">
        <v>6</v>
      </c>
      <c r="C124" s="164" t="s">
        <v>7</v>
      </c>
      <c r="D124" s="165">
        <v>4.8559232881268821</v>
      </c>
      <c r="E124" s="165">
        <v>1.3931144861645819</v>
      </c>
      <c r="F124" s="165">
        <v>0.71083622082682218</v>
      </c>
      <c r="G124" s="166">
        <v>0.70694808225793826</v>
      </c>
    </row>
    <row r="125" spans="1:7">
      <c r="A125" s="258"/>
      <c r="B125" s="138" t="s">
        <v>8</v>
      </c>
      <c r="C125" s="138" t="s">
        <v>9</v>
      </c>
      <c r="D125" s="137">
        <v>0.26977351600704869</v>
      </c>
      <c r="E125" s="137">
        <v>0.23370482908313739</v>
      </c>
      <c r="F125" s="137">
        <v>0.2369454069422742</v>
      </c>
      <c r="G125" s="167">
        <v>0.28563558879108619</v>
      </c>
    </row>
    <row r="126" spans="1:7">
      <c r="A126" s="258"/>
      <c r="B126" s="138" t="s">
        <v>10</v>
      </c>
      <c r="C126" s="138" t="s">
        <v>11</v>
      </c>
      <c r="D126" s="137">
        <v>5.6271802993446904</v>
      </c>
      <c r="E126" s="137">
        <v>4.7477845924481672</v>
      </c>
      <c r="F126" s="137">
        <v>4.9530079596886001</v>
      </c>
      <c r="G126" s="167">
        <v>5.0164380794169121</v>
      </c>
    </row>
    <row r="127" spans="1:7">
      <c r="A127" s="258"/>
      <c r="B127" s="138" t="s">
        <v>12</v>
      </c>
      <c r="C127" s="138" t="s">
        <v>13</v>
      </c>
      <c r="D127" s="137">
        <v>3.0940546959341422E-2</v>
      </c>
      <c r="E127" s="137">
        <v>2.6652520662380143E-2</v>
      </c>
      <c r="F127" s="137">
        <v>5.5271775843198416E-2</v>
      </c>
      <c r="G127" s="167">
        <v>4.8501182328170529E-2</v>
      </c>
    </row>
    <row r="128" spans="1:7">
      <c r="A128" s="258"/>
      <c r="B128" s="138" t="s">
        <v>14</v>
      </c>
      <c r="C128" s="138" t="s">
        <v>13</v>
      </c>
      <c r="D128" s="137">
        <v>0.56140518455924493</v>
      </c>
      <c r="E128" s="137">
        <v>0.31748677383869073</v>
      </c>
      <c r="F128" s="137">
        <v>0.58249865879673923</v>
      </c>
      <c r="G128" s="167">
        <v>0.57284156704755629</v>
      </c>
    </row>
    <row r="129" spans="1:7">
      <c r="A129" s="258"/>
      <c r="B129" s="138" t="s">
        <v>15</v>
      </c>
      <c r="C129" s="138" t="s">
        <v>16</v>
      </c>
      <c r="D129" s="137">
        <v>14.256349347013826</v>
      </c>
      <c r="E129" s="137">
        <v>1.0697371001226919</v>
      </c>
      <c r="F129" s="137">
        <v>0.57550345232049871</v>
      </c>
      <c r="G129" s="167">
        <v>0.27787416269413884</v>
      </c>
    </row>
    <row r="130" spans="1:7">
      <c r="A130" s="258"/>
      <c r="B130" s="138" t="s">
        <v>17</v>
      </c>
      <c r="C130" s="138" t="s">
        <v>16</v>
      </c>
      <c r="D130" s="137">
        <v>14.249134917429311</v>
      </c>
      <c r="E130" s="137">
        <v>38.735554775784152</v>
      </c>
      <c r="F130" s="137">
        <v>0.53187533561843436</v>
      </c>
      <c r="G130" s="167">
        <v>0.2671382890196301</v>
      </c>
    </row>
    <row r="131" spans="1:7">
      <c r="A131" s="258"/>
      <c r="B131" s="138" t="s">
        <v>18</v>
      </c>
      <c r="C131" s="138" t="s">
        <v>16</v>
      </c>
      <c r="D131" s="137">
        <v>13.831458317790549</v>
      </c>
      <c r="E131" s="137">
        <v>1.0222716701913348</v>
      </c>
      <c r="F131" s="137">
        <v>1.6716846963829912</v>
      </c>
      <c r="G131" s="167">
        <v>1.9936296097811383</v>
      </c>
    </row>
    <row r="132" spans="1:7">
      <c r="A132" s="258"/>
      <c r="B132" s="138" t="s">
        <v>19</v>
      </c>
      <c r="C132" s="138" t="s">
        <v>16</v>
      </c>
      <c r="D132" s="137">
        <v>0.26299917781949228</v>
      </c>
      <c r="E132" s="137">
        <v>0.47840644845096764</v>
      </c>
      <c r="F132" s="137">
        <v>4.8677998357382471E-2</v>
      </c>
      <c r="G132" s="167">
        <v>4.1135426349469068E-2</v>
      </c>
    </row>
    <row r="133" spans="1:7">
      <c r="A133" s="258"/>
      <c r="B133" s="138" t="s">
        <v>20</v>
      </c>
      <c r="C133" s="138" t="s">
        <v>16</v>
      </c>
      <c r="D133" s="137">
        <v>1.0851397980664317</v>
      </c>
      <c r="E133" s="137">
        <v>0.40215977286416432</v>
      </c>
      <c r="F133" s="137">
        <v>1.5247350243669391</v>
      </c>
      <c r="G133" s="167">
        <v>1.7670603091661781</v>
      </c>
    </row>
    <row r="134" spans="1:7">
      <c r="A134" s="258"/>
      <c r="B134" s="138" t="s">
        <v>21</v>
      </c>
      <c r="C134" s="138" t="s">
        <v>16</v>
      </c>
      <c r="D134" s="137">
        <v>0</v>
      </c>
      <c r="E134" s="137">
        <v>8.7346405371085539E-3</v>
      </c>
      <c r="F134" s="137">
        <v>0</v>
      </c>
      <c r="G134" s="167">
        <v>0</v>
      </c>
    </row>
    <row r="135" spans="1:7">
      <c r="A135" s="258"/>
      <c r="B135" s="138" t="s">
        <v>22</v>
      </c>
      <c r="C135" s="138" t="s">
        <v>16</v>
      </c>
      <c r="D135" s="137">
        <v>8.6016275841605538E-3</v>
      </c>
      <c r="E135" s="137">
        <v>2.8140469492269709E-2</v>
      </c>
      <c r="F135" s="137">
        <v>4.8365931167494651E-2</v>
      </c>
      <c r="G135" s="167">
        <v>1.2329703441205613E-2</v>
      </c>
    </row>
    <row r="136" spans="1:7">
      <c r="A136" s="258"/>
      <c r="B136" s="138" t="s">
        <v>23</v>
      </c>
      <c r="C136" s="138" t="s">
        <v>16</v>
      </c>
      <c r="D136" s="137">
        <v>0</v>
      </c>
      <c r="E136" s="137">
        <v>0</v>
      </c>
      <c r="F136" s="137">
        <v>0</v>
      </c>
      <c r="G136" s="167">
        <v>0</v>
      </c>
    </row>
    <row r="137" spans="1:7">
      <c r="A137" s="258"/>
      <c r="B137" s="138" t="s">
        <v>24</v>
      </c>
      <c r="C137" s="138" t="s">
        <v>16</v>
      </c>
      <c r="D137" s="137">
        <v>8.6016275841605538E-3</v>
      </c>
      <c r="E137" s="137">
        <v>2.475431442817394E-2</v>
      </c>
      <c r="F137" s="137">
        <v>4.8365931167494651E-2</v>
      </c>
      <c r="G137" s="167">
        <v>1.2329703441205613E-2</v>
      </c>
    </row>
    <row r="138" spans="1:7">
      <c r="A138" s="258"/>
      <c r="B138" s="138" t="s">
        <v>25</v>
      </c>
      <c r="C138" s="138" t="s">
        <v>16</v>
      </c>
      <c r="D138" s="137">
        <v>0</v>
      </c>
      <c r="E138" s="137">
        <v>8.7346405371085539E-3</v>
      </c>
      <c r="F138" s="137">
        <v>0</v>
      </c>
      <c r="G138" s="167">
        <v>0</v>
      </c>
    </row>
    <row r="139" spans="1:7">
      <c r="A139" s="258"/>
      <c r="B139" s="138" t="s">
        <v>26</v>
      </c>
      <c r="C139" s="138" t="s">
        <v>13</v>
      </c>
      <c r="D139" s="137">
        <v>2.4933584117070766</v>
      </c>
      <c r="E139" s="137">
        <v>2.0319007723016802</v>
      </c>
      <c r="F139" s="137">
        <v>2.7803864248236385</v>
      </c>
      <c r="G139" s="167">
        <v>0.95975194510167383</v>
      </c>
    </row>
    <row r="140" spans="1:7">
      <c r="A140" s="258"/>
      <c r="B140" s="138" t="s">
        <v>27</v>
      </c>
      <c r="C140" s="138" t="s">
        <v>13</v>
      </c>
      <c r="D140" s="137">
        <v>11.414902540100814</v>
      </c>
      <c r="E140" s="137">
        <v>9.9649385346824886</v>
      </c>
      <c r="F140" s="137">
        <v>9.8386991009990741</v>
      </c>
      <c r="G140" s="167">
        <v>12.501999840025595</v>
      </c>
    </row>
    <row r="141" spans="1:7">
      <c r="A141" s="258"/>
      <c r="B141" s="138" t="s">
        <v>28</v>
      </c>
      <c r="C141" s="138" t="s">
        <v>29</v>
      </c>
      <c r="D141" s="137">
        <v>0.956333820808421</v>
      </c>
      <c r="E141" s="137">
        <v>0.95078839680700578</v>
      </c>
      <c r="F141" s="137">
        <v>0.71948464913116572</v>
      </c>
      <c r="G141" s="167">
        <v>0.28224944950743708</v>
      </c>
    </row>
    <row r="142" spans="1:7">
      <c r="A142" s="258"/>
      <c r="B142" s="138" t="s">
        <v>30</v>
      </c>
      <c r="C142" s="138" t="s">
        <v>29</v>
      </c>
      <c r="D142" s="137">
        <v>8.1278749498254452</v>
      </c>
      <c r="E142" s="137">
        <v>4.5494716506425235</v>
      </c>
      <c r="F142" s="137">
        <v>13.191823441056204</v>
      </c>
      <c r="G142" s="167">
        <v>10.163645040043457</v>
      </c>
    </row>
    <row r="143" spans="1:7" ht="14.5" thickBot="1">
      <c r="A143" s="259"/>
      <c r="B143" s="168" t="s">
        <v>31</v>
      </c>
      <c r="C143" s="168" t="s">
        <v>32</v>
      </c>
      <c r="D143" s="169">
        <v>2.1155908952272366E-2</v>
      </c>
      <c r="E143" s="169">
        <v>5.6376144259197864E-3</v>
      </c>
      <c r="F143" s="169">
        <v>1.8906235271541657E-3</v>
      </c>
      <c r="G143" s="170">
        <v>2.2010483511928805E-3</v>
      </c>
    </row>
    <row r="144" spans="1:7">
      <c r="A144" s="239" t="s">
        <v>79</v>
      </c>
      <c r="B144" s="173" t="s">
        <v>6</v>
      </c>
      <c r="C144" s="173" t="s">
        <v>7</v>
      </c>
      <c r="D144" s="174">
        <v>11.562260476530328</v>
      </c>
      <c r="E144" s="174">
        <v>0.46488762410822371</v>
      </c>
      <c r="F144" s="174">
        <v>0.42270864026468702</v>
      </c>
      <c r="G144" s="175">
        <v>0.20333728734742385</v>
      </c>
    </row>
    <row r="145" spans="1:7">
      <c r="A145" s="258"/>
      <c r="B145" s="172" t="s">
        <v>8</v>
      </c>
      <c r="C145" s="172" t="s">
        <v>9</v>
      </c>
      <c r="D145" s="171">
        <v>0.64234780425168481</v>
      </c>
      <c r="E145" s="171">
        <v>7.7988193945348769E-2</v>
      </c>
      <c r="F145" s="171">
        <v>0.14090288008822904</v>
      </c>
      <c r="G145" s="176">
        <v>8.2156479736332874E-2</v>
      </c>
    </row>
    <row r="146" spans="1:7">
      <c r="A146" s="258"/>
      <c r="B146" s="172" t="s">
        <v>10</v>
      </c>
      <c r="C146" s="172" t="s">
        <v>11</v>
      </c>
      <c r="D146" s="171">
        <v>171.20574810397446</v>
      </c>
      <c r="E146" s="171">
        <v>28.547107394610073</v>
      </c>
      <c r="F146" s="171">
        <v>53.041415915910946</v>
      </c>
      <c r="G146" s="176">
        <v>31.459294829501751</v>
      </c>
    </row>
    <row r="147" spans="1:7">
      <c r="A147" s="258"/>
      <c r="B147" s="172" t="s">
        <v>12</v>
      </c>
      <c r="C147" s="172" t="s">
        <v>13</v>
      </c>
      <c r="D147" s="171">
        <v>0.38993181342888494</v>
      </c>
      <c r="E147" s="171">
        <v>8.7344301642399064E-2</v>
      </c>
      <c r="F147" s="171">
        <v>0.48828138092098505</v>
      </c>
      <c r="G147" s="176">
        <v>0.3324782977326497</v>
      </c>
    </row>
    <row r="148" spans="1:7">
      <c r="A148" s="258"/>
      <c r="B148" s="172" t="s">
        <v>14</v>
      </c>
      <c r="C148" s="172" t="s">
        <v>13</v>
      </c>
      <c r="D148" s="171">
        <v>1.1488373028577634</v>
      </c>
      <c r="E148" s="171">
        <v>1.3356595105508735</v>
      </c>
      <c r="F148" s="171">
        <v>1.8243805134380546</v>
      </c>
      <c r="G148" s="176">
        <v>1.0389236279378284</v>
      </c>
    </row>
    <row r="149" spans="1:7">
      <c r="A149" s="258"/>
      <c r="B149" s="172" t="s">
        <v>15</v>
      </c>
      <c r="C149" s="172" t="s">
        <v>16</v>
      </c>
      <c r="D149" s="171">
        <v>565.91921809746691</v>
      </c>
      <c r="E149" s="171">
        <v>0.29882940154956095</v>
      </c>
      <c r="F149" s="171">
        <v>0.13377409245627495</v>
      </c>
      <c r="G149" s="176">
        <v>0.19399162730603542</v>
      </c>
    </row>
    <row r="150" spans="1:7">
      <c r="A150" s="258"/>
      <c r="B150" s="172" t="s">
        <v>17</v>
      </c>
      <c r="C150" s="172" t="s">
        <v>16</v>
      </c>
      <c r="D150" s="171">
        <v>272.29401542136344</v>
      </c>
      <c r="E150" s="171">
        <v>0.27715565162116385</v>
      </c>
      <c r="F150" s="171">
        <v>0.15977775911646364</v>
      </c>
      <c r="G150" s="176">
        <v>0.25896151459651867</v>
      </c>
    </row>
    <row r="151" spans="1:7">
      <c r="A151" s="258"/>
      <c r="B151" s="172" t="s">
        <v>18</v>
      </c>
      <c r="C151" s="172" t="s">
        <v>16</v>
      </c>
      <c r="D151" s="171">
        <v>2.7131857572095943</v>
      </c>
      <c r="E151" s="171">
        <v>0.24815296697708703</v>
      </c>
      <c r="F151" s="171">
        <v>0.87340552965863527</v>
      </c>
      <c r="G151" s="176">
        <v>2.2078838922684048</v>
      </c>
    </row>
    <row r="152" spans="1:7">
      <c r="A152" s="258"/>
      <c r="B152" s="172" t="s">
        <v>19</v>
      </c>
      <c r="C152" s="172" t="s">
        <v>16</v>
      </c>
      <c r="D152" s="171">
        <v>293.62525780012521</v>
      </c>
      <c r="E152" s="171">
        <v>0.19515781730970996</v>
      </c>
      <c r="F152" s="171">
        <v>6.3876530943275056E-2</v>
      </c>
      <c r="G152" s="176">
        <v>0.14451123811981689</v>
      </c>
    </row>
    <row r="153" spans="1:7">
      <c r="A153" s="258"/>
      <c r="B153" s="172" t="s">
        <v>20</v>
      </c>
      <c r="C153" s="172" t="s">
        <v>16</v>
      </c>
      <c r="D153" s="171">
        <v>563.23146940954905</v>
      </c>
      <c r="E153" s="171">
        <v>0.33200137733265694</v>
      </c>
      <c r="F153" s="171">
        <v>0.9085579783908434</v>
      </c>
      <c r="G153" s="176">
        <v>2.0604156134139537</v>
      </c>
    </row>
    <row r="154" spans="1:7">
      <c r="A154" s="258"/>
      <c r="B154" s="172" t="s">
        <v>21</v>
      </c>
      <c r="C154" s="172" t="s">
        <v>16</v>
      </c>
      <c r="D154" s="171">
        <v>0</v>
      </c>
      <c r="E154" s="171">
        <v>6.5726706900619938</v>
      </c>
      <c r="F154" s="171">
        <v>0</v>
      </c>
      <c r="G154" s="176">
        <v>6.5726706900619938</v>
      </c>
    </row>
    <row r="155" spans="1:7">
      <c r="A155" s="258"/>
      <c r="B155" s="172" t="s">
        <v>22</v>
      </c>
      <c r="C155" s="172" t="s">
        <v>16</v>
      </c>
      <c r="D155" s="171">
        <v>0</v>
      </c>
      <c r="E155" s="171">
        <v>0.14292829185409744</v>
      </c>
      <c r="F155" s="171">
        <v>1.9504014751451308E-2</v>
      </c>
      <c r="G155" s="176">
        <v>0.33584708030415011</v>
      </c>
    </row>
    <row r="156" spans="1:7">
      <c r="A156" s="258"/>
      <c r="B156" s="172" t="s">
        <v>23</v>
      </c>
      <c r="C156" s="172" t="s">
        <v>16</v>
      </c>
      <c r="D156" s="171">
        <v>0</v>
      </c>
      <c r="E156" s="171">
        <v>0</v>
      </c>
      <c r="F156" s="171">
        <v>0</v>
      </c>
      <c r="G156" s="176">
        <v>0</v>
      </c>
    </row>
    <row r="157" spans="1:7">
      <c r="A157" s="258"/>
      <c r="B157" s="172" t="s">
        <v>24</v>
      </c>
      <c r="C157" s="172" t="s">
        <v>16</v>
      </c>
      <c r="D157" s="171">
        <v>0</v>
      </c>
      <c r="E157" s="171">
        <v>6.4300643816487373</v>
      </c>
      <c r="F157" s="171">
        <v>1.9504014751451308E-2</v>
      </c>
      <c r="G157" s="176">
        <v>6.2377708953241138</v>
      </c>
    </row>
    <row r="158" spans="1:7">
      <c r="A158" s="258"/>
      <c r="B158" s="172" t="s">
        <v>25</v>
      </c>
      <c r="C158" s="172" t="s">
        <v>16</v>
      </c>
      <c r="D158" s="171">
        <v>0</v>
      </c>
      <c r="E158" s="171">
        <v>6.5726706900619938</v>
      </c>
      <c r="F158" s="171">
        <v>0</v>
      </c>
      <c r="G158" s="176">
        <v>6.5726706900619938</v>
      </c>
    </row>
    <row r="159" spans="1:7">
      <c r="A159" s="258"/>
      <c r="B159" s="172" t="s">
        <v>26</v>
      </c>
      <c r="C159" s="172" t="s">
        <v>13</v>
      </c>
      <c r="D159" s="171">
        <v>21.403057714935652</v>
      </c>
      <c r="E159" s="171">
        <v>3.9414385560754988</v>
      </c>
      <c r="F159" s="171">
        <v>6.2485659261424855</v>
      </c>
      <c r="G159" s="176">
        <v>2.8496834211491966</v>
      </c>
    </row>
    <row r="160" spans="1:7">
      <c r="A160" s="258"/>
      <c r="B160" s="172" t="s">
        <v>27</v>
      </c>
      <c r="C160" s="172" t="s">
        <v>13</v>
      </c>
      <c r="D160" s="171">
        <v>1.7888543819998317</v>
      </c>
      <c r="E160" s="171">
        <v>3.0495901363953815</v>
      </c>
      <c r="F160" s="171">
        <v>1.8708286933869707</v>
      </c>
      <c r="G160" s="176">
        <v>5.3103672189407014</v>
      </c>
    </row>
    <row r="161" spans="1:7">
      <c r="A161" s="258"/>
      <c r="B161" s="172" t="s">
        <v>28</v>
      </c>
      <c r="C161" s="172" t="s">
        <v>29</v>
      </c>
      <c r="D161" s="171">
        <v>6.7699785404731303</v>
      </c>
      <c r="E161" s="171">
        <v>1.8427790081084394</v>
      </c>
      <c r="F161" s="171">
        <v>3.435244443663537</v>
      </c>
      <c r="G161" s="176">
        <v>1.0689957786615956</v>
      </c>
    </row>
    <row r="162" spans="1:7">
      <c r="A162" s="258"/>
      <c r="B162" s="172" t="s">
        <v>30</v>
      </c>
      <c r="C162" s="172" t="s">
        <v>29</v>
      </c>
      <c r="D162" s="171">
        <v>19.187042463600275</v>
      </c>
      <c r="E162" s="171">
        <v>10.03049832760068</v>
      </c>
      <c r="F162" s="171">
        <v>16.74599312372963</v>
      </c>
      <c r="G162" s="176">
        <v>7.8611141258729988</v>
      </c>
    </row>
    <row r="163" spans="1:7" ht="14.5" thickBot="1">
      <c r="A163" s="259"/>
      <c r="B163" s="177" t="s">
        <v>31</v>
      </c>
      <c r="C163" s="177" t="s">
        <v>32</v>
      </c>
      <c r="D163" s="178">
        <v>0.10172270390765838</v>
      </c>
      <c r="E163" s="178">
        <v>8.6020949080946527E-3</v>
      </c>
      <c r="F163" s="178">
        <v>7.9850852945945947E-3</v>
      </c>
      <c r="G163" s="179">
        <v>3.4929398789854166E-3</v>
      </c>
    </row>
    <row r="164" spans="1:7">
      <c r="A164" s="239" t="s">
        <v>80</v>
      </c>
      <c r="B164" s="186" t="s">
        <v>6</v>
      </c>
      <c r="C164" s="187" t="s">
        <v>7</v>
      </c>
      <c r="D164" s="188">
        <v>8.9558719325861826</v>
      </c>
      <c r="E164" s="188">
        <v>1.4916459468351253</v>
      </c>
      <c r="F164" s="188">
        <v>1.3719553558457109</v>
      </c>
      <c r="G164" s="189">
        <v>0.22286488901424478</v>
      </c>
    </row>
    <row r="165" spans="1:7">
      <c r="A165" s="258"/>
      <c r="B165" s="190" t="s">
        <v>8</v>
      </c>
      <c r="C165" s="185" t="s">
        <v>9</v>
      </c>
      <c r="D165" s="184">
        <v>0.49754844069923193</v>
      </c>
      <c r="E165" s="184">
        <v>0.25023417997569564</v>
      </c>
      <c r="F165" s="184">
        <v>0.45731845194856996</v>
      </c>
      <c r="G165" s="191">
        <v>9.0046419803735109E-2</v>
      </c>
    </row>
    <row r="166" spans="1:7">
      <c r="A166" s="258"/>
      <c r="B166" s="190" t="s">
        <v>10</v>
      </c>
      <c r="C166" s="185" t="s">
        <v>11</v>
      </c>
      <c r="D166" s="184">
        <v>2.9582884727062084</v>
      </c>
      <c r="E166" s="184">
        <v>1.4353609446235098</v>
      </c>
      <c r="F166" s="184">
        <v>2.6636050185023077</v>
      </c>
      <c r="G166" s="191">
        <v>0.5658676285629759</v>
      </c>
    </row>
    <row r="167" spans="1:7">
      <c r="A167" s="258"/>
      <c r="B167" s="190" t="s">
        <v>12</v>
      </c>
      <c r="C167" s="185" t="s">
        <v>13</v>
      </c>
      <c r="D167" s="184">
        <v>1.3031854841274858E-2</v>
      </c>
      <c r="E167" s="184">
        <v>2.6424428743424988E-2</v>
      </c>
      <c r="F167" s="184">
        <v>3.3458298314423381E-2</v>
      </c>
      <c r="G167" s="191">
        <v>3.409998078959612E-2</v>
      </c>
    </row>
    <row r="168" spans="1:7">
      <c r="A168" s="258"/>
      <c r="B168" s="190" t="s">
        <v>14</v>
      </c>
      <c r="C168" s="185" t="s">
        <v>13</v>
      </c>
      <c r="D168" s="184">
        <v>1.5820733404894671</v>
      </c>
      <c r="E168" s="184">
        <v>0.68854820660030736</v>
      </c>
      <c r="F168" s="184">
        <v>1.1204194945421113</v>
      </c>
      <c r="G168" s="191">
        <v>0.38190006055249592</v>
      </c>
    </row>
    <row r="169" spans="1:7">
      <c r="A169" s="258"/>
      <c r="B169" s="190" t="s">
        <v>15</v>
      </c>
      <c r="C169" s="185" t="s">
        <v>16</v>
      </c>
      <c r="D169" s="184">
        <v>23.422904863167673</v>
      </c>
      <c r="E169" s="184">
        <v>8.6822637132279716</v>
      </c>
      <c r="F169" s="184">
        <v>7.8057219620686649</v>
      </c>
      <c r="G169" s="191">
        <v>6.7712865808832241</v>
      </c>
    </row>
    <row r="170" spans="1:7">
      <c r="A170" s="258"/>
      <c r="B170" s="190" t="s">
        <v>17</v>
      </c>
      <c r="C170" s="185" t="s">
        <v>16</v>
      </c>
      <c r="D170" s="184">
        <v>19.435243484590451</v>
      </c>
      <c r="E170" s="184">
        <v>2.6867246982705435</v>
      </c>
      <c r="F170" s="184">
        <v>7.1792894633858934E-2</v>
      </c>
      <c r="G170" s="191">
        <v>0.19967317191904332</v>
      </c>
    </row>
    <row r="171" spans="1:7">
      <c r="A171" s="258"/>
      <c r="B171" s="190" t="s">
        <v>18</v>
      </c>
      <c r="C171" s="185" t="s">
        <v>16</v>
      </c>
      <c r="D171" s="184">
        <v>19.918772813001723</v>
      </c>
      <c r="E171" s="184">
        <v>2.9834877812420002</v>
      </c>
      <c r="F171" s="184">
        <v>2.7720474069127814</v>
      </c>
      <c r="G171" s="191">
        <v>3.1212191483726306</v>
      </c>
    </row>
    <row r="172" spans="1:7">
      <c r="A172" s="258"/>
      <c r="B172" s="190" t="s">
        <v>19</v>
      </c>
      <c r="C172" s="185" t="s">
        <v>16</v>
      </c>
      <c r="D172" s="184">
        <v>0</v>
      </c>
      <c r="E172" s="184">
        <v>2.5270624530159327</v>
      </c>
      <c r="F172" s="184">
        <v>2.7701972887648627</v>
      </c>
      <c r="G172" s="191">
        <v>1.7905144384906646</v>
      </c>
    </row>
    <row r="173" spans="1:7">
      <c r="A173" s="258"/>
      <c r="B173" s="190" t="s">
        <v>20</v>
      </c>
      <c r="C173" s="185" t="s">
        <v>16</v>
      </c>
      <c r="D173" s="184">
        <v>4.7266856582611583</v>
      </c>
      <c r="E173" s="184">
        <v>7.5038186079603415</v>
      </c>
      <c r="F173" s="184">
        <v>7.1751454195711037</v>
      </c>
      <c r="G173" s="191">
        <v>6.1807944597607021</v>
      </c>
    </row>
    <row r="174" spans="1:7">
      <c r="A174" s="258"/>
      <c r="B174" s="190" t="s">
        <v>21</v>
      </c>
      <c r="C174" s="185" t="s">
        <v>16</v>
      </c>
      <c r="D174" s="184">
        <v>37.256258895711696</v>
      </c>
      <c r="E174" s="184">
        <v>5.3665631459994954</v>
      </c>
      <c r="F174" s="184">
        <v>0</v>
      </c>
      <c r="G174" s="191">
        <v>5.3665631459994954</v>
      </c>
    </row>
    <row r="175" spans="1:7">
      <c r="A175" s="258"/>
      <c r="B175" s="190" t="s">
        <v>22</v>
      </c>
      <c r="C175" s="185" t="s">
        <v>16</v>
      </c>
      <c r="D175" s="184">
        <v>33.883905562604781</v>
      </c>
      <c r="E175" s="184">
        <v>5.3467231612650261</v>
      </c>
      <c r="F175" s="184">
        <v>0.13649917487683089</v>
      </c>
      <c r="G175" s="191">
        <v>5.3871980031017097</v>
      </c>
    </row>
    <row r="176" spans="1:7">
      <c r="A176" s="258"/>
      <c r="B176" s="190" t="s">
        <v>23</v>
      </c>
      <c r="C176" s="185" t="s">
        <v>16</v>
      </c>
      <c r="D176" s="184">
        <v>36.087576836139839</v>
      </c>
      <c r="E176" s="184">
        <v>5.3665631459994954</v>
      </c>
      <c r="F176" s="184">
        <v>0</v>
      </c>
      <c r="G176" s="191">
        <v>5.3665631459994954</v>
      </c>
    </row>
    <row r="177" spans="1:7">
      <c r="A177" s="258"/>
      <c r="B177" s="190" t="s">
        <v>24</v>
      </c>
      <c r="C177" s="185" t="s">
        <v>16</v>
      </c>
      <c r="D177" s="184">
        <v>24.936860893714641</v>
      </c>
      <c r="E177" s="184">
        <v>4.1214058441517203E-2</v>
      </c>
      <c r="F177" s="184">
        <v>0.13649917487683089</v>
      </c>
      <c r="G177" s="191">
        <v>6.4887364298400155E-2</v>
      </c>
    </row>
    <row r="178" spans="1:7">
      <c r="A178" s="258"/>
      <c r="B178" s="190" t="s">
        <v>25</v>
      </c>
      <c r="C178" s="185" t="s">
        <v>16</v>
      </c>
      <c r="D178" s="184">
        <v>31.944327372313403</v>
      </c>
      <c r="E178" s="184">
        <v>0</v>
      </c>
      <c r="F178" s="184">
        <v>0</v>
      </c>
      <c r="G178" s="191">
        <v>0</v>
      </c>
    </row>
    <row r="179" spans="1:7">
      <c r="A179" s="258"/>
      <c r="B179" s="190" t="s">
        <v>26</v>
      </c>
      <c r="C179" s="185" t="s">
        <v>13</v>
      </c>
      <c r="D179" s="184">
        <v>1.4116638344915722</v>
      </c>
      <c r="E179" s="184">
        <v>1.3772290384340622</v>
      </c>
      <c r="F179" s="184">
        <v>0.76967853134296438</v>
      </c>
      <c r="G179" s="191">
        <v>0.48843346642320545</v>
      </c>
    </row>
    <row r="180" spans="1:7">
      <c r="A180" s="258"/>
      <c r="B180" s="190" t="s">
        <v>27</v>
      </c>
      <c r="C180" s="185" t="s">
        <v>13</v>
      </c>
      <c r="D180" s="184">
        <v>5.6124860801609122</v>
      </c>
      <c r="E180" s="184">
        <v>0.54772255750516607</v>
      </c>
      <c r="F180" s="184">
        <v>0.54772255750516607</v>
      </c>
      <c r="G180" s="191">
        <v>7.8421935706790613</v>
      </c>
    </row>
    <row r="181" spans="1:7">
      <c r="A181" s="258"/>
      <c r="B181" s="190" t="s">
        <v>28</v>
      </c>
      <c r="C181" s="185" t="s">
        <v>29</v>
      </c>
      <c r="D181" s="184">
        <v>2.1976808286195175</v>
      </c>
      <c r="E181" s="184">
        <v>2.2227528401684884</v>
      </c>
      <c r="F181" s="184">
        <v>2.30352834032279</v>
      </c>
      <c r="G181" s="191">
        <v>1.143441127787701</v>
      </c>
    </row>
    <row r="182" spans="1:7">
      <c r="A182" s="258"/>
      <c r="B182" s="190" t="s">
        <v>30</v>
      </c>
      <c r="C182" s="185" t="s">
        <v>29</v>
      </c>
      <c r="D182" s="184">
        <v>8.438253533759223</v>
      </c>
      <c r="E182" s="184">
        <v>10.536191128676434</v>
      </c>
      <c r="F182" s="184">
        <v>11.345672060305642</v>
      </c>
      <c r="G182" s="191">
        <v>6.2086722574154267</v>
      </c>
    </row>
    <row r="183" spans="1:7" ht="14.5" thickBot="1">
      <c r="A183" s="259"/>
      <c r="B183" s="192" t="s">
        <v>31</v>
      </c>
      <c r="C183" s="193" t="s">
        <v>32</v>
      </c>
      <c r="D183" s="194">
        <v>8.5648009293841587E-2</v>
      </c>
      <c r="E183" s="194">
        <v>5.372834597251526E-2</v>
      </c>
      <c r="F183" s="194">
        <v>3.2168669747130917E-2</v>
      </c>
      <c r="G183" s="195">
        <v>9.6675467990820149E-3</v>
      </c>
    </row>
    <row r="184" spans="1:7">
      <c r="A184" s="239" t="s">
        <v>82</v>
      </c>
      <c r="B184" s="230" t="s">
        <v>6</v>
      </c>
      <c r="C184" s="230" t="s">
        <v>7</v>
      </c>
      <c r="D184" s="231">
        <v>2.3047979401978118</v>
      </c>
      <c r="E184" s="231">
        <v>1.085560227146281</v>
      </c>
      <c r="F184" s="231">
        <v>0.11983982249736733</v>
      </c>
      <c r="G184" s="232">
        <v>0.23670548632946214</v>
      </c>
    </row>
    <row r="185" spans="1:7">
      <c r="A185" s="258"/>
      <c r="B185" s="229" t="s">
        <v>8</v>
      </c>
      <c r="C185" s="229" t="s">
        <v>9</v>
      </c>
      <c r="D185" s="228">
        <v>0.12804433001098919</v>
      </c>
      <c r="E185" s="228">
        <v>0.18211042226913018</v>
      </c>
      <c r="F185" s="228">
        <v>3.9946607499121635E-2</v>
      </c>
      <c r="G185" s="233">
        <v>9.5638580335136267E-2</v>
      </c>
    </row>
    <row r="186" spans="1:7">
      <c r="A186" s="258"/>
      <c r="B186" s="229" t="s">
        <v>10</v>
      </c>
      <c r="C186" s="229" t="s">
        <v>11</v>
      </c>
      <c r="D186" s="228">
        <v>1.1706938483597167</v>
      </c>
      <c r="E186" s="228">
        <v>1.5280463984108732</v>
      </c>
      <c r="F186" s="228">
        <v>0.39939823965008192</v>
      </c>
      <c r="G186" s="233">
        <v>0.93829610846264044</v>
      </c>
    </row>
    <row r="187" spans="1:7">
      <c r="A187" s="258"/>
      <c r="B187" s="229" t="s">
        <v>12</v>
      </c>
      <c r="C187" s="229" t="s">
        <v>13</v>
      </c>
      <c r="D187" s="228">
        <v>3.9770132235047481E-2</v>
      </c>
      <c r="E187" s="228">
        <v>5.4456167441330403E-2</v>
      </c>
      <c r="F187" s="228">
        <v>6.7375917823896334E-2</v>
      </c>
      <c r="G187" s="233">
        <v>0.14713779981747327</v>
      </c>
    </row>
    <row r="188" spans="1:7">
      <c r="A188" s="258"/>
      <c r="B188" s="229" t="s">
        <v>14</v>
      </c>
      <c r="C188" s="229" t="s">
        <v>13</v>
      </c>
      <c r="D188" s="228">
        <v>1.5027585312101872</v>
      </c>
      <c r="E188" s="228">
        <v>1.3101030941065288</v>
      </c>
      <c r="F188" s="228">
        <v>0.84909016103267843</v>
      </c>
      <c r="G188" s="233">
        <v>0.78468619324861344</v>
      </c>
    </row>
    <row r="189" spans="1:7">
      <c r="A189" s="258"/>
      <c r="B189" s="229" t="s">
        <v>15</v>
      </c>
      <c r="C189" s="229" t="s">
        <v>16</v>
      </c>
      <c r="D189" s="228">
        <v>2.4032953526868255</v>
      </c>
      <c r="E189" s="228">
        <v>0.54416600241433111</v>
      </c>
      <c r="F189" s="228">
        <v>75.825072853765249</v>
      </c>
      <c r="G189" s="233">
        <v>272.52575624866853</v>
      </c>
    </row>
    <row r="190" spans="1:7">
      <c r="A190" s="258"/>
      <c r="B190" s="229" t="s">
        <v>17</v>
      </c>
      <c r="C190" s="229" t="s">
        <v>16</v>
      </c>
      <c r="D190" s="228">
        <v>407.21242395312322</v>
      </c>
      <c r="E190" s="228">
        <v>0.47983977408558626</v>
      </c>
      <c r="F190" s="228">
        <v>66.841702384241941</v>
      </c>
      <c r="G190" s="233">
        <v>250.21524544421416</v>
      </c>
    </row>
    <row r="191" spans="1:7">
      <c r="A191" s="258"/>
      <c r="B191" s="229" t="s">
        <v>18</v>
      </c>
      <c r="C191" s="229" t="s">
        <v>16</v>
      </c>
      <c r="D191" s="228">
        <v>2.9633161104758075</v>
      </c>
      <c r="E191" s="228">
        <v>0.44673566446641577</v>
      </c>
      <c r="F191" s="228">
        <v>74.486355447337786</v>
      </c>
      <c r="G191" s="233">
        <v>270.64922771023021</v>
      </c>
    </row>
    <row r="192" spans="1:7">
      <c r="A192" s="258"/>
      <c r="B192" s="229" t="s">
        <v>19</v>
      </c>
      <c r="C192" s="229" t="s">
        <v>16</v>
      </c>
      <c r="D192" s="228">
        <v>0.20022768781105532</v>
      </c>
      <c r="E192" s="228">
        <v>7.4171364587164348E-2</v>
      </c>
      <c r="F192" s="228">
        <v>0.13294433600826447</v>
      </c>
      <c r="G192" s="233">
        <v>0.21684416768279979</v>
      </c>
    </row>
    <row r="193" spans="1:7">
      <c r="A193" s="258"/>
      <c r="B193" s="229" t="s">
        <v>20</v>
      </c>
      <c r="C193" s="229" t="s">
        <v>16</v>
      </c>
      <c r="D193" s="228">
        <v>0.98338786690570057</v>
      </c>
      <c r="E193" s="228">
        <v>0.10322408828535978</v>
      </c>
      <c r="F193" s="228">
        <v>1.4630692376775205</v>
      </c>
      <c r="G193" s="233">
        <v>2.4844695834982815</v>
      </c>
    </row>
    <row r="194" spans="1:7">
      <c r="A194" s="258"/>
      <c r="B194" s="229" t="s">
        <v>21</v>
      </c>
      <c r="C194" s="229" t="s">
        <v>16</v>
      </c>
      <c r="D194" s="228">
        <v>383.70926493896388</v>
      </c>
      <c r="E194" s="228">
        <v>334.51576943396856</v>
      </c>
      <c r="F194" s="228">
        <v>302.31639055797154</v>
      </c>
      <c r="G194" s="233">
        <v>342.56561415296778</v>
      </c>
    </row>
    <row r="195" spans="1:7">
      <c r="A195" s="258"/>
      <c r="B195" s="229" t="s">
        <v>22</v>
      </c>
      <c r="C195" s="229" t="s">
        <v>16</v>
      </c>
      <c r="D195" s="228">
        <v>12.031747800108985</v>
      </c>
      <c r="E195" s="228">
        <v>29.561306917179245</v>
      </c>
      <c r="F195" s="228">
        <v>12.324340295213361</v>
      </c>
      <c r="G195" s="233">
        <v>78.066587519896487</v>
      </c>
    </row>
    <row r="196" spans="1:7">
      <c r="A196" s="258"/>
      <c r="B196" s="229" t="s">
        <v>23</v>
      </c>
      <c r="C196" s="229" t="s">
        <v>16</v>
      </c>
      <c r="D196" s="228">
        <v>5.2407843222651322E-3</v>
      </c>
      <c r="E196" s="228">
        <v>0</v>
      </c>
      <c r="F196" s="228">
        <v>0</v>
      </c>
      <c r="G196" s="233">
        <v>0</v>
      </c>
    </row>
    <row r="197" spans="1:7">
      <c r="A197" s="258"/>
      <c r="B197" s="229" t="s">
        <v>24</v>
      </c>
      <c r="C197" s="229" t="s">
        <v>16</v>
      </c>
      <c r="D197" s="228">
        <v>371.67751755313571</v>
      </c>
      <c r="E197" s="228">
        <v>304.95446296412121</v>
      </c>
      <c r="F197" s="228">
        <v>289.99205067619545</v>
      </c>
      <c r="G197" s="233">
        <v>264.49902675140891</v>
      </c>
    </row>
    <row r="198" spans="1:7">
      <c r="A198" s="258"/>
      <c r="B198" s="229" t="s">
        <v>25</v>
      </c>
      <c r="C198" s="229" t="s">
        <v>16</v>
      </c>
      <c r="D198" s="228">
        <v>383.70795477643645</v>
      </c>
      <c r="E198" s="228">
        <v>334.51576943396856</v>
      </c>
      <c r="F198" s="228">
        <v>302.31639055797154</v>
      </c>
      <c r="G198" s="233">
        <v>342.56561415296778</v>
      </c>
    </row>
    <row r="199" spans="1:7">
      <c r="A199" s="258"/>
      <c r="B199" s="229" t="s">
        <v>26</v>
      </c>
      <c r="C199" s="229" t="s">
        <v>13</v>
      </c>
      <c r="D199" s="228">
        <v>9.5967225673016077E-2</v>
      </c>
      <c r="E199" s="228">
        <v>0.20304126449705556</v>
      </c>
      <c r="F199" s="228">
        <v>0.262918080494003</v>
      </c>
      <c r="G199" s="233">
        <v>0.43301122076451776</v>
      </c>
    </row>
    <row r="200" spans="1:7">
      <c r="A200" s="258"/>
      <c r="B200" s="229" t="s">
        <v>27</v>
      </c>
      <c r="C200" s="229" t="s">
        <v>13</v>
      </c>
      <c r="D200" s="228">
        <v>0</v>
      </c>
      <c r="E200" s="228">
        <v>0</v>
      </c>
      <c r="F200" s="228">
        <v>0</v>
      </c>
      <c r="G200" s="233">
        <v>0</v>
      </c>
    </row>
    <row r="201" spans="1:7">
      <c r="A201" s="258"/>
      <c r="B201" s="229" t="s">
        <v>28</v>
      </c>
      <c r="C201" s="229" t="s">
        <v>29</v>
      </c>
      <c r="D201" s="228">
        <v>0.67559686737705293</v>
      </c>
      <c r="E201" s="228">
        <v>1.200748890765402</v>
      </c>
      <c r="F201" s="228">
        <v>0.40426301258291231</v>
      </c>
      <c r="G201" s="233">
        <v>0.71216109372850422</v>
      </c>
    </row>
    <row r="202" spans="1:7">
      <c r="A202" s="258"/>
      <c r="B202" s="229" t="s">
        <v>30</v>
      </c>
      <c r="C202" s="229" t="s">
        <v>29</v>
      </c>
      <c r="D202" s="228">
        <v>4.8790545498077798</v>
      </c>
      <c r="E202" s="228">
        <v>4.0948337573093223</v>
      </c>
      <c r="F202" s="228">
        <v>2.07015192679185</v>
      </c>
      <c r="G202" s="233">
        <v>4.8473308119005027</v>
      </c>
    </row>
    <row r="203" spans="1:7" ht="14.5" thickBot="1">
      <c r="A203" s="259"/>
      <c r="B203" s="234" t="s">
        <v>31</v>
      </c>
      <c r="C203" s="234" t="s">
        <v>32</v>
      </c>
      <c r="D203" s="235">
        <v>1.0806329546845133E-2</v>
      </c>
      <c r="E203" s="235">
        <v>7.9035795894857094E-3</v>
      </c>
      <c r="F203" s="235">
        <v>1.8449526679264841E-3</v>
      </c>
      <c r="G203" s="236">
        <v>2.0655375738146374E-3</v>
      </c>
    </row>
    <row r="204" spans="1:7">
      <c r="A204" s="239" t="s">
        <v>84</v>
      </c>
      <c r="B204" s="8" t="s">
        <v>6</v>
      </c>
      <c r="C204" s="83" t="s">
        <v>7</v>
      </c>
      <c r="D204" s="82">
        <v>21.904151730285918</v>
      </c>
      <c r="E204" s="82">
        <v>1.781447865646816</v>
      </c>
      <c r="F204" s="82">
        <v>1.2503346723462865</v>
      </c>
      <c r="G204" s="4">
        <v>0.23999618116629651</v>
      </c>
    </row>
    <row r="205" spans="1:7">
      <c r="A205" s="258"/>
      <c r="B205" s="8" t="s">
        <v>8</v>
      </c>
      <c r="C205" s="83" t="s">
        <v>9</v>
      </c>
      <c r="D205" s="82">
        <v>1.2168973183492175</v>
      </c>
      <c r="E205" s="82">
        <v>0.29885050589612733</v>
      </c>
      <c r="F205" s="82">
        <v>0.41677822411542892</v>
      </c>
      <c r="G205" s="4">
        <v>9.6968154006584345E-2</v>
      </c>
    </row>
    <row r="206" spans="1:7">
      <c r="A206" s="258"/>
      <c r="B206" s="8" t="s">
        <v>10</v>
      </c>
      <c r="C206" s="83" t="s">
        <v>11</v>
      </c>
      <c r="D206" s="82">
        <v>8.9833501546201955</v>
      </c>
      <c r="E206" s="82">
        <v>3.1122220432722947</v>
      </c>
      <c r="F206" s="82">
        <v>4.4721544095110142</v>
      </c>
      <c r="G206" s="4">
        <v>1.2109671202678898</v>
      </c>
    </row>
    <row r="207" spans="1:7">
      <c r="A207" s="258"/>
      <c r="B207" s="8" t="s">
        <v>12</v>
      </c>
      <c r="C207" s="83" t="s">
        <v>13</v>
      </c>
      <c r="D207" s="82">
        <v>4.3576806255959319E-2</v>
      </c>
      <c r="E207" s="82">
        <v>1.1029376303996738E-2</v>
      </c>
      <c r="F207" s="82">
        <v>6.2726457754880852E-2</v>
      </c>
      <c r="G207" s="4">
        <v>2.2036598861504612E-2</v>
      </c>
    </row>
    <row r="208" spans="1:7">
      <c r="A208" s="258"/>
      <c r="B208" s="8" t="s">
        <v>14</v>
      </c>
      <c r="C208" s="83" t="s">
        <v>13</v>
      </c>
      <c r="D208" s="82">
        <v>0.73296606866382286</v>
      </c>
      <c r="E208" s="82">
        <v>0.44807313158679801</v>
      </c>
      <c r="F208" s="82">
        <v>0.24834019320782519</v>
      </c>
      <c r="G208" s="4">
        <v>0.57098376591414579</v>
      </c>
    </row>
    <row r="209" spans="1:7">
      <c r="A209" s="258"/>
      <c r="B209" s="8" t="s">
        <v>15</v>
      </c>
      <c r="C209" s="83" t="s">
        <v>16</v>
      </c>
      <c r="D209" s="82">
        <v>313.87490251145391</v>
      </c>
      <c r="E209" s="82">
        <v>2.5415588689571997</v>
      </c>
      <c r="F209" s="82">
        <v>4.0189471681439199</v>
      </c>
      <c r="G209" s="4">
        <v>3.992512943865504</v>
      </c>
    </row>
    <row r="210" spans="1:7">
      <c r="A210" s="258"/>
      <c r="B210" s="8" t="s">
        <v>17</v>
      </c>
      <c r="C210" s="83" t="s">
        <v>16</v>
      </c>
      <c r="D210" s="82">
        <v>307.39725644000976</v>
      </c>
      <c r="E210" s="82">
        <v>0.60232344961244466</v>
      </c>
      <c r="F210" s="82">
        <v>0.33021956231869359</v>
      </c>
      <c r="G210" s="4">
        <v>0.52884935172015202</v>
      </c>
    </row>
    <row r="211" spans="1:7">
      <c r="A211" s="258"/>
      <c r="B211" s="8" t="s">
        <v>18</v>
      </c>
      <c r="C211" s="83" t="s">
        <v>16</v>
      </c>
      <c r="D211" s="82">
        <v>315.31387151081486</v>
      </c>
      <c r="E211" s="82">
        <v>0.89099755776838063</v>
      </c>
      <c r="F211" s="82">
        <v>0.75726663652181492</v>
      </c>
      <c r="G211" s="4">
        <v>2.1485351540306405</v>
      </c>
    </row>
    <row r="212" spans="1:7">
      <c r="A212" s="258"/>
      <c r="B212" s="8" t="s">
        <v>19</v>
      </c>
      <c r="C212" s="83" t="s">
        <v>16</v>
      </c>
      <c r="D212" s="82">
        <v>4.3705156492643056</v>
      </c>
      <c r="E212" s="82">
        <v>2.03761256900329</v>
      </c>
      <c r="F212" s="82">
        <v>3.6896201821708368</v>
      </c>
      <c r="G212" s="4">
        <v>3.5296008037166309</v>
      </c>
    </row>
    <row r="213" spans="1:7">
      <c r="A213" s="258"/>
      <c r="B213" s="8" t="s">
        <v>20</v>
      </c>
      <c r="C213" s="83" t="s">
        <v>16</v>
      </c>
      <c r="D213" s="82">
        <v>4.6639311447688128</v>
      </c>
      <c r="E213" s="82">
        <v>1.7093144770478346</v>
      </c>
      <c r="F213" s="82">
        <v>4.021253768734149</v>
      </c>
      <c r="G213" s="4">
        <v>1.9065153343770525</v>
      </c>
    </row>
    <row r="214" spans="1:7">
      <c r="A214" s="258"/>
      <c r="B214" s="8" t="s">
        <v>21</v>
      </c>
      <c r="C214" s="83" t="s">
        <v>16</v>
      </c>
      <c r="D214" s="82">
        <v>0</v>
      </c>
      <c r="E214" s="82">
        <v>0</v>
      </c>
      <c r="F214" s="82">
        <v>0</v>
      </c>
      <c r="G214" s="4">
        <v>0</v>
      </c>
    </row>
    <row r="215" spans="1:7">
      <c r="A215" s="258"/>
      <c r="B215" s="8" t="s">
        <v>22</v>
      </c>
      <c r="C215" s="83" t="s">
        <v>16</v>
      </c>
      <c r="D215" s="82">
        <v>2.5949022445283694E-2</v>
      </c>
      <c r="E215" s="82">
        <v>1.0179059624185909E-2</v>
      </c>
      <c r="F215" s="82">
        <v>5.8097859175419438E-2</v>
      </c>
      <c r="G215" s="4">
        <v>5.2188451243996702E-2</v>
      </c>
    </row>
    <row r="216" spans="1:7">
      <c r="A216" s="258"/>
      <c r="B216" s="8" t="s">
        <v>23</v>
      </c>
      <c r="C216" s="83" t="s">
        <v>16</v>
      </c>
      <c r="D216" s="82">
        <v>0</v>
      </c>
      <c r="E216" s="82">
        <v>0</v>
      </c>
      <c r="F216" s="82">
        <v>0</v>
      </c>
      <c r="G216" s="4">
        <v>0</v>
      </c>
    </row>
    <row r="217" spans="1:7">
      <c r="A217" s="258"/>
      <c r="B217" s="8" t="s">
        <v>24</v>
      </c>
      <c r="C217" s="83" t="s">
        <v>16</v>
      </c>
      <c r="D217" s="82">
        <v>2.5949022445283694E-2</v>
      </c>
      <c r="E217" s="82">
        <v>1.0179059624185909E-2</v>
      </c>
      <c r="F217" s="82">
        <v>5.8097859175419438E-2</v>
      </c>
      <c r="G217" s="4">
        <v>5.2188451243996702E-2</v>
      </c>
    </row>
    <row r="218" spans="1:7">
      <c r="A218" s="258"/>
      <c r="B218" s="8" t="s">
        <v>25</v>
      </c>
      <c r="C218" s="83" t="s">
        <v>16</v>
      </c>
      <c r="D218" s="82">
        <v>0</v>
      </c>
      <c r="E218" s="82">
        <v>0</v>
      </c>
      <c r="F218" s="82">
        <v>0</v>
      </c>
      <c r="G218" s="4">
        <v>0</v>
      </c>
    </row>
    <row r="219" spans="1:7">
      <c r="A219" s="258"/>
      <c r="B219" s="8" t="s">
        <v>26</v>
      </c>
      <c r="C219" s="83" t="s">
        <v>13</v>
      </c>
      <c r="D219" s="82">
        <v>0.31815116446015573</v>
      </c>
      <c r="E219" s="82">
        <v>0.96438254476384</v>
      </c>
      <c r="F219" s="82">
        <v>3.237075241236977</v>
      </c>
      <c r="G219" s="4">
        <v>0.64914734656126571</v>
      </c>
    </row>
    <row r="220" spans="1:7">
      <c r="A220" s="258"/>
      <c r="B220" s="8" t="s">
        <v>27</v>
      </c>
      <c r="C220" s="83" t="s">
        <v>13</v>
      </c>
      <c r="D220" s="82">
        <v>9.3914855054991175</v>
      </c>
      <c r="E220" s="82">
        <v>3.0495901363953815</v>
      </c>
      <c r="F220" s="82">
        <v>0</v>
      </c>
      <c r="G220" s="4">
        <v>0</v>
      </c>
    </row>
    <row r="221" spans="1:7">
      <c r="A221" s="258"/>
      <c r="B221" s="8" t="s">
        <v>28</v>
      </c>
      <c r="C221" s="83" t="s">
        <v>29</v>
      </c>
      <c r="D221" s="82">
        <v>7.7011257370163166</v>
      </c>
      <c r="E221" s="82">
        <v>1.4740267220057754</v>
      </c>
      <c r="F221" s="82">
        <v>1.8366656168032134</v>
      </c>
      <c r="G221" s="4">
        <v>1.2233873913465019</v>
      </c>
    </row>
    <row r="222" spans="1:7">
      <c r="A222" s="258"/>
      <c r="B222" s="8" t="s">
        <v>30</v>
      </c>
      <c r="C222" s="83" t="s">
        <v>29</v>
      </c>
      <c r="D222" s="82">
        <v>5.0266426369894281</v>
      </c>
      <c r="E222" s="82">
        <v>0.58918333309760162</v>
      </c>
      <c r="F222" s="82">
        <v>3.563061225968482</v>
      </c>
      <c r="G222" s="4">
        <v>1.222039688389873</v>
      </c>
    </row>
    <row r="223" spans="1:7" ht="14.5" thickBot="1">
      <c r="A223" s="259"/>
      <c r="B223" s="8" t="s">
        <v>31</v>
      </c>
      <c r="C223" s="8" t="s">
        <v>32</v>
      </c>
      <c r="D223" s="4">
        <v>0.16416615979922955</v>
      </c>
      <c r="E223" s="4">
        <v>1.2802790415248856E-2</v>
      </c>
      <c r="F223" s="4">
        <v>1.2766847232021908E-2</v>
      </c>
      <c r="G223" s="4">
        <v>6.6948170420770342E-3</v>
      </c>
    </row>
  </sheetData>
  <mergeCells count="12">
    <mergeCell ref="A184:A203"/>
    <mergeCell ref="A204:A223"/>
    <mergeCell ref="A84:A103"/>
    <mergeCell ref="A104:A123"/>
    <mergeCell ref="A124:A143"/>
    <mergeCell ref="A144:A163"/>
    <mergeCell ref="A164:A183"/>
    <mergeCell ref="B1:G1"/>
    <mergeCell ref="A4:A23"/>
    <mergeCell ref="A24:A43"/>
    <mergeCell ref="A44:A63"/>
    <mergeCell ref="A64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1105-07AB-4845-8BC9-9FD37F133E0D}">
  <dimension ref="A1:AD28"/>
  <sheetViews>
    <sheetView tabSelected="1" workbookViewId="0">
      <selection activeCell="G29" sqref="G29"/>
    </sheetView>
  </sheetViews>
  <sheetFormatPr defaultRowHeight="14"/>
  <cols>
    <col min="2" max="2" width="14" bestFit="1" customWidth="1"/>
    <col min="3" max="3" width="10" bestFit="1" customWidth="1"/>
    <col min="4" max="4" width="9.75" bestFit="1" customWidth="1"/>
    <col min="5" max="5" width="18" bestFit="1" customWidth="1"/>
    <col min="6" max="6" width="17.33203125" bestFit="1" customWidth="1"/>
    <col min="7" max="7" width="12.4140625" bestFit="1" customWidth="1"/>
    <col min="8" max="8" width="12.4140625" customWidth="1"/>
    <col min="9" max="9" width="10" bestFit="1" customWidth="1"/>
    <col min="11" max="11" width="18" bestFit="1" customWidth="1"/>
    <col min="12" max="12" width="10" bestFit="1" customWidth="1"/>
    <col min="13" max="13" width="12.58203125" bestFit="1" customWidth="1"/>
    <col min="14" max="14" width="9.58203125" customWidth="1"/>
    <col min="15" max="15" width="10" bestFit="1" customWidth="1"/>
  </cols>
  <sheetData>
    <row r="1" spans="1:30">
      <c r="A1" s="301"/>
      <c r="B1" s="302" t="s">
        <v>626</v>
      </c>
      <c r="C1" s="301" t="s">
        <v>628</v>
      </c>
      <c r="D1" s="302" t="s">
        <v>622</v>
      </c>
      <c r="E1" s="303" t="s">
        <v>627</v>
      </c>
      <c r="F1" s="303" t="s">
        <v>629</v>
      </c>
      <c r="G1" s="303" t="s">
        <v>623</v>
      </c>
      <c r="H1" s="303" t="s">
        <v>631</v>
      </c>
      <c r="I1" s="304" t="s">
        <v>630</v>
      </c>
      <c r="J1" s="303" t="s">
        <v>624</v>
      </c>
      <c r="K1" s="302" t="s">
        <v>632</v>
      </c>
      <c r="L1" s="303" t="s">
        <v>633</v>
      </c>
      <c r="M1" s="305" t="s">
        <v>625</v>
      </c>
      <c r="N1" s="307" t="s">
        <v>634</v>
      </c>
      <c r="O1" s="308" t="s">
        <v>635</v>
      </c>
      <c r="P1" s="309" t="s">
        <v>636</v>
      </c>
      <c r="Q1" s="316" t="s">
        <v>637</v>
      </c>
      <c r="R1" s="307" t="s">
        <v>638</v>
      </c>
      <c r="S1" s="308" t="s">
        <v>639</v>
      </c>
      <c r="T1" s="309" t="s">
        <v>640</v>
      </c>
      <c r="U1" s="316" t="s">
        <v>641</v>
      </c>
      <c r="V1" s="307" t="s">
        <v>642</v>
      </c>
      <c r="W1" s="308" t="s">
        <v>643</v>
      </c>
      <c r="X1" s="309" t="s">
        <v>644</v>
      </c>
      <c r="Y1" s="316" t="s">
        <v>645</v>
      </c>
      <c r="Z1" s="307" t="s">
        <v>646</v>
      </c>
      <c r="AA1" s="308" t="s">
        <v>647</v>
      </c>
      <c r="AB1" s="309" t="s">
        <v>648</v>
      </c>
      <c r="AC1" s="310" t="s">
        <v>649</v>
      </c>
      <c r="AD1" t="s">
        <v>650</v>
      </c>
    </row>
    <row r="2" spans="1:30">
      <c r="A2" s="301" t="s">
        <v>65</v>
      </c>
      <c r="B2" s="300">
        <v>6386.7783083818831</v>
      </c>
      <c r="C2" s="271">
        <v>7119.359375</v>
      </c>
      <c r="D2" s="271">
        <v>3.1024171484622074</v>
      </c>
      <c r="E2" s="300">
        <v>7332.4189823343149</v>
      </c>
      <c r="F2" s="271">
        <v>7119.359375</v>
      </c>
      <c r="G2" s="271">
        <v>3.2777768097897866</v>
      </c>
      <c r="H2" s="300">
        <v>5322.7051418142046</v>
      </c>
      <c r="I2" s="271">
        <v>7119.359375</v>
      </c>
      <c r="J2" s="271">
        <v>3.2067988654863657</v>
      </c>
      <c r="K2" s="300">
        <v>9690.7258030962021</v>
      </c>
      <c r="L2" s="271">
        <v>7119.359375</v>
      </c>
      <c r="M2" s="306">
        <v>3.3259725110062601</v>
      </c>
      <c r="N2" s="311">
        <f>((MAX($B$2:$B$12)-B2)/(MAX($B$2:$B$12)-MIN($B$2:$B$12)))*100</f>
        <v>25.086569624713352</v>
      </c>
      <c r="O2" s="301">
        <f>((MAX($C$2:$C$12)-C2)/(MAX($C$2:$C$12)-MIN($C$2:$C$12)))*100</f>
        <v>4.5289808401102309</v>
      </c>
      <c r="P2" s="301">
        <f>((MAX($D$2:$D$12)-D2)/(MAX($D$2:$D$12)-MIN($D$2:$D$12)))*100</f>
        <v>76.522504461568232</v>
      </c>
      <c r="Q2" s="317">
        <f>AVERAGE(N2:P2)</f>
        <v>35.379351642130608</v>
      </c>
      <c r="R2" s="311">
        <f>((MAX($E$2:$E$12)-E2)/(MAX($E$2:$E$12)-MIN($E$2:$E$12)))*100</f>
        <v>2.8793911470613014</v>
      </c>
      <c r="S2" s="301">
        <f>((MAX($F$2:$F$12)-F2)/(MAX($F$2:$F$12)-MIN($F$2:$F$12)))*100</f>
        <v>5.362135634927613</v>
      </c>
      <c r="T2" s="301">
        <f>((MAX($G$2:$G$12)-G2)/(MAX($G$2:$G$12)-MIN($G$2:$G$12)))*100</f>
        <v>66.730747855052769</v>
      </c>
      <c r="U2" s="317">
        <f>AVERAGE(R2:T2)</f>
        <v>24.990758212347227</v>
      </c>
      <c r="V2" s="311">
        <f>((MAX($H$2:$H$12)-H2)/(MAX($H$2:$H$12)-MIN($H$2:$H$12)))*100</f>
        <v>86.421414552112992</v>
      </c>
      <c r="W2" s="301">
        <f>((MAX($I$2:$I$12)-I2)/(MAX($I$2:$I$12)-MIN($I$2:$I$12)))*100</f>
        <v>3.8829184564594623</v>
      </c>
      <c r="X2" s="301">
        <f>((MAX($J$2:$J$12)-J2)/(MAX($J$2:$J$12)-MIN($J$2:$J$12)))*100</f>
        <v>67.84188976327961</v>
      </c>
      <c r="Y2" s="317">
        <f>AVERAGE(V2:X2)</f>
        <v>52.71540759061736</v>
      </c>
      <c r="Z2" s="311">
        <f>((MAX($K$2:$K$12)-K2)/(MAX($K$2:$K$12)-MIN($K$2:$K$12)))*100</f>
        <v>1.2156017646908119</v>
      </c>
      <c r="AA2" s="301">
        <f>((MAX($L$2:$L$12)-L2)/(MAX($L$2:$L$12)-MIN($L$2:$L$12)))*100</f>
        <v>2.4764830306700114</v>
      </c>
      <c r="AB2" s="301">
        <f>((MAX($M$2:$M$12)-M2)/(MAX($M$2:$M$12)-MIN($M$2:$M$12)))*100</f>
        <v>66.646024057050852</v>
      </c>
      <c r="AC2" s="312">
        <f>AVERAGE(Z2:AB2)</f>
        <v>23.446036284137225</v>
      </c>
      <c r="AD2">
        <f>AVERAGE(Q2,U2,Y2,AC2)</f>
        <v>34.132888432308107</v>
      </c>
    </row>
    <row r="3" spans="1:30">
      <c r="A3" s="301" t="s">
        <v>63</v>
      </c>
      <c r="B3" s="300">
        <v>6423.2861721001109</v>
      </c>
      <c r="C3" s="271">
        <v>7005.42578125</v>
      </c>
      <c r="D3" s="271">
        <v>3.0302908503551098</v>
      </c>
      <c r="E3" s="300">
        <v>7374.5034385724948</v>
      </c>
      <c r="F3" s="271">
        <v>7003.67578125</v>
      </c>
      <c r="G3" s="271">
        <v>3.0699711894786437</v>
      </c>
      <c r="H3" s="300">
        <v>5347.9604168581491</v>
      </c>
      <c r="I3" s="271">
        <v>7005.42578125</v>
      </c>
      <c r="J3" s="271">
        <v>2.8984597120098043</v>
      </c>
      <c r="K3" s="300">
        <v>4049.7501991081217</v>
      </c>
      <c r="L3" s="271">
        <v>7000.53125</v>
      </c>
      <c r="M3" s="306">
        <v>3.1987365187653083</v>
      </c>
      <c r="N3" s="311">
        <f t="shared" ref="N3:N12" si="0">((MAX($B$2:$B$12)-B3)/(MAX($B$2:$B$12)-MIN($B$2:$B$12)))*100</f>
        <v>23.546157231325768</v>
      </c>
      <c r="O3" s="301">
        <f t="shared" ref="O3:O12" si="1">((MAX($C$2:$C$12)-C3)/(MAX($C$2:$C$12)-MIN($C$2:$C$12)))*100</f>
        <v>6.9438300663677701</v>
      </c>
      <c r="P3" s="301">
        <f t="shared" ref="P3:P12" si="2">((MAX($D$2:$D$12)-D3)/(MAX($D$2:$D$12)-MIN($D$2:$D$12)))*100</f>
        <v>79.728345260841991</v>
      </c>
      <c r="Q3" s="317">
        <f t="shared" ref="Q3:Q12" si="3">AVERAGE(N3:P3)</f>
        <v>36.73944418617851</v>
      </c>
      <c r="R3" s="311">
        <f t="shared" ref="R3:R12" si="4">((MAX($E$2:$E$12)-E3)/(MAX($E$2:$E$12)-MIN($E$2:$E$12)))*100</f>
        <v>2.2484388362523635</v>
      </c>
      <c r="S3" s="301">
        <f t="shared" ref="S3:S12" si="5">((MAX($F$2:$F$12)-F3)/(MAX($F$2:$F$12)-MIN($F$2:$F$12)))*100</f>
        <v>7.761585612403799</v>
      </c>
      <c r="T3" s="301">
        <f t="shared" ref="T3:T12" si="6">((MAX($G$2:$G$12)-G3)/(MAX($G$2:$G$12)-MIN($G$2:$G$12)))*100</f>
        <v>76.297419189939959</v>
      </c>
      <c r="U3" s="317">
        <f t="shared" ref="U3:U12" si="7">AVERAGE(R3:T3)</f>
        <v>28.769147879532042</v>
      </c>
      <c r="V3" s="311">
        <f t="shared" ref="V3:V12" si="8">((MAX($H$2:$H$12)-H3)/(MAX($H$2:$H$12)-MIN($H$2:$H$12)))*100</f>
        <v>83.818200668516738</v>
      </c>
      <c r="W3" s="301">
        <f t="shared" ref="W3:W12" si="9">((MAX($I$2:$I$12)-I3)/(MAX($I$2:$I$12)-MIN($I$2:$I$12)))*100</f>
        <v>6.3140520230817438</v>
      </c>
      <c r="X3" s="301">
        <f t="shared" ref="X3:X12" si="10">((MAX($J$2:$J$12)-J3)/(MAX($J$2:$J$12)-MIN($J$2:$J$12)))*100</f>
        <v>84.17922622566492</v>
      </c>
      <c r="Y3" s="317">
        <f t="shared" ref="Y3:Y12" si="11">AVERAGE(V3:X3)</f>
        <v>58.103826305754467</v>
      </c>
      <c r="Z3" s="311">
        <f t="shared" ref="Z3:Z12" si="12">((MAX($K$2:$K$12)-K3)/(MAX($K$2:$K$12)-MIN($K$2:$K$12)))*100</f>
        <v>75.270595126199808</v>
      </c>
      <c r="AA3" s="301">
        <f t="shared" ref="AA3:AA12" si="13">((MAX($L$2:$L$12)-L3)/(MAX($L$2:$L$12)-MIN($L$2:$L$12)))*100</f>
        <v>5.0615287642039073</v>
      </c>
      <c r="AB3" s="301">
        <f t="shared" ref="AB3:AB12" si="14">((MAX($M$2:$M$12)-M3)/(MAX($M$2:$M$12)-MIN($M$2:$M$12)))*100</f>
        <v>72.278868947344549</v>
      </c>
      <c r="AC3" s="312">
        <f t="shared" ref="AC3:AC12" si="15">AVERAGE(Z3:AB3)</f>
        <v>50.870330945916088</v>
      </c>
      <c r="AD3">
        <f t="shared" ref="AD3:AD12" si="16">AVERAGE(Q3,U3,Y3,AC3)</f>
        <v>43.62068732934528</v>
      </c>
    </row>
    <row r="4" spans="1:30">
      <c r="A4" s="301" t="s">
        <v>68</v>
      </c>
      <c r="B4" s="300">
        <v>6484.4893953572982</v>
      </c>
      <c r="C4" s="271">
        <v>7000.55859375</v>
      </c>
      <c r="D4" s="271">
        <v>3.0420868148395721</v>
      </c>
      <c r="E4" s="300">
        <v>7427.8193269785834</v>
      </c>
      <c r="F4" s="271">
        <v>7000.55859375</v>
      </c>
      <c r="G4" s="271">
        <v>3.1769410081659921</v>
      </c>
      <c r="H4" s="300">
        <v>5425.1664472101975</v>
      </c>
      <c r="I4" s="271">
        <v>7000.55859375</v>
      </c>
      <c r="J4" s="271">
        <v>3.003127855940356</v>
      </c>
      <c r="K4" s="300">
        <v>8495.1065455739899</v>
      </c>
      <c r="L4" s="271">
        <v>7000.55859375</v>
      </c>
      <c r="M4" s="306">
        <v>3.2282367529441669</v>
      </c>
      <c r="N4" s="311">
        <f t="shared" si="0"/>
        <v>20.963749113768156</v>
      </c>
      <c r="O4" s="301">
        <f t="shared" si="1"/>
        <v>7.0469912463285791</v>
      </c>
      <c r="P4" s="301">
        <f t="shared" si="2"/>
        <v>79.204042957749692</v>
      </c>
      <c r="Q4" s="317">
        <f t="shared" si="3"/>
        <v>35.738261105948808</v>
      </c>
      <c r="R4" s="311">
        <f t="shared" si="4"/>
        <v>1.4490989849242062</v>
      </c>
      <c r="S4" s="301">
        <f t="shared" si="5"/>
        <v>7.8262407223827282</v>
      </c>
      <c r="T4" s="301">
        <f t="shared" si="6"/>
        <v>71.372888772513804</v>
      </c>
      <c r="U4" s="317">
        <f t="shared" si="7"/>
        <v>26.882742826606915</v>
      </c>
      <c r="V4" s="311">
        <f t="shared" si="8"/>
        <v>75.86010835868872</v>
      </c>
      <c r="W4" s="301">
        <f t="shared" si="9"/>
        <v>6.4179088621125455</v>
      </c>
      <c r="X4" s="301">
        <f t="shared" si="10"/>
        <v>78.633389230893556</v>
      </c>
      <c r="Y4" s="317">
        <f t="shared" si="11"/>
        <v>53.63713548389827</v>
      </c>
      <c r="Z4" s="311">
        <f t="shared" si="12"/>
        <v>16.911747678901509</v>
      </c>
      <c r="AA4" s="301">
        <f t="shared" si="13"/>
        <v>5.060933914758321</v>
      </c>
      <c r="AB4" s="301">
        <f t="shared" si="14"/>
        <v>70.972868652693904</v>
      </c>
      <c r="AC4" s="312">
        <f t="shared" si="15"/>
        <v>30.981850082117912</v>
      </c>
      <c r="AD4">
        <f t="shared" si="16"/>
        <v>36.809997374642975</v>
      </c>
    </row>
    <row r="5" spans="1:30">
      <c r="A5" s="301" t="s">
        <v>69</v>
      </c>
      <c r="B5" s="300">
        <v>6226.7751171874997</v>
      </c>
      <c r="C5" s="271">
        <v>7183.1875</v>
      </c>
      <c r="D5" s="271">
        <v>2.8951562499999999</v>
      </c>
      <c r="E5" s="300">
        <v>7177.0761363636366</v>
      </c>
      <c r="F5" s="271">
        <v>7183.1875</v>
      </c>
      <c r="G5" s="271">
        <v>3.2688723776223778</v>
      </c>
      <c r="H5" s="300">
        <v>5190.9714750744051</v>
      </c>
      <c r="I5" s="271">
        <v>7183.1875</v>
      </c>
      <c r="J5" s="271">
        <v>2.5998697916666669</v>
      </c>
      <c r="K5" s="300">
        <v>9555.1299843750003</v>
      </c>
      <c r="L5" s="271">
        <v>7183.2265625</v>
      </c>
      <c r="M5" s="306">
        <v>4.1567552083333332</v>
      </c>
      <c r="N5" s="311">
        <f t="shared" si="0"/>
        <v>31.837742484338431</v>
      </c>
      <c r="O5" s="301">
        <f t="shared" si="1"/>
        <v>3.1761287690351048</v>
      </c>
      <c r="P5" s="301">
        <f t="shared" si="2"/>
        <v>85.734753832770821</v>
      </c>
      <c r="Q5" s="317">
        <f t="shared" si="3"/>
        <v>40.249541695381453</v>
      </c>
      <c r="R5" s="311">
        <f t="shared" si="4"/>
        <v>5.208372828043939</v>
      </c>
      <c r="S5" s="301">
        <f t="shared" si="5"/>
        <v>4.0382452877400095</v>
      </c>
      <c r="T5" s="301">
        <f t="shared" si="6"/>
        <v>67.140677941841815</v>
      </c>
      <c r="U5" s="317">
        <f t="shared" si="7"/>
        <v>25.462432019208588</v>
      </c>
      <c r="V5" s="311">
        <f t="shared" si="8"/>
        <v>100</v>
      </c>
      <c r="W5" s="301">
        <f t="shared" si="9"/>
        <v>2.5209435369062656</v>
      </c>
      <c r="X5" s="301">
        <f t="shared" si="10"/>
        <v>100</v>
      </c>
      <c r="Y5" s="317">
        <f t="shared" si="11"/>
        <v>67.506981178968758</v>
      </c>
      <c r="Z5" s="311">
        <f t="shared" si="12"/>
        <v>2.9957100580413027</v>
      </c>
      <c r="AA5" s="301">
        <f t="shared" si="13"/>
        <v>1.0870846827647127</v>
      </c>
      <c r="AB5" s="301">
        <f t="shared" si="14"/>
        <v>29.866572039094052</v>
      </c>
      <c r="AC5" s="312">
        <f t="shared" si="15"/>
        <v>11.316455593300022</v>
      </c>
      <c r="AD5">
        <f t="shared" si="16"/>
        <v>36.133852621714709</v>
      </c>
    </row>
    <row r="6" spans="1:30">
      <c r="A6" s="301" t="s">
        <v>71</v>
      </c>
      <c r="B6" s="300">
        <v>6498.7845106872292</v>
      </c>
      <c r="C6" s="271">
        <v>6983.02734375</v>
      </c>
      <c r="D6" s="271">
        <v>3.036244751082251</v>
      </c>
      <c r="E6" s="300">
        <v>7447.0250901681975</v>
      </c>
      <c r="F6" s="271">
        <v>6982.83984375</v>
      </c>
      <c r="G6" s="271">
        <v>3.0889107951663415</v>
      </c>
      <c r="H6" s="300">
        <v>5429.7190308415029</v>
      </c>
      <c r="I6" s="271">
        <v>6983.02734375</v>
      </c>
      <c r="J6" s="271">
        <v>2.8867728758169937</v>
      </c>
      <c r="K6" s="300">
        <v>9783.3215834416478</v>
      </c>
      <c r="L6" s="271">
        <v>6958.71484375</v>
      </c>
      <c r="M6" s="306">
        <v>3.3189319852163384</v>
      </c>
      <c r="N6" s="311">
        <f t="shared" si="0"/>
        <v>20.360581177427473</v>
      </c>
      <c r="O6" s="301">
        <f t="shared" si="1"/>
        <v>7.4185701995100466</v>
      </c>
      <c r="P6" s="301">
        <f t="shared" si="2"/>
        <v>79.46370866688352</v>
      </c>
      <c r="Q6" s="317">
        <f t="shared" si="3"/>
        <v>35.747620014607016</v>
      </c>
      <c r="R6" s="311">
        <f t="shared" si="4"/>
        <v>1.161156078004985</v>
      </c>
      <c r="S6" s="301">
        <f t="shared" si="5"/>
        <v>8.1937539791050646</v>
      </c>
      <c r="T6" s="301">
        <f t="shared" si="6"/>
        <v>75.425503490281429</v>
      </c>
      <c r="U6" s="317">
        <f t="shared" si="7"/>
        <v>28.260137849130491</v>
      </c>
      <c r="V6" s="311">
        <f t="shared" si="8"/>
        <v>75.390846040435363</v>
      </c>
      <c r="W6" s="301">
        <f t="shared" si="9"/>
        <v>6.7919935278992494</v>
      </c>
      <c r="X6" s="301">
        <f t="shared" si="10"/>
        <v>84.798452726451302</v>
      </c>
      <c r="Y6" s="317">
        <f t="shared" si="11"/>
        <v>55.660430764928641</v>
      </c>
      <c r="Z6" s="311">
        <f t="shared" si="12"/>
        <v>0</v>
      </c>
      <c r="AA6" s="301">
        <f t="shared" si="13"/>
        <v>5.9712235234899147</v>
      </c>
      <c r="AB6" s="301">
        <f t="shared" si="14"/>
        <v>66.957714082980317</v>
      </c>
      <c r="AC6" s="312">
        <f t="shared" si="15"/>
        <v>24.309645868823409</v>
      </c>
      <c r="AD6">
        <f t="shared" si="16"/>
        <v>35.994458624372385</v>
      </c>
    </row>
    <row r="7" spans="1:30">
      <c r="A7" s="301" t="s">
        <v>108</v>
      </c>
      <c r="B7" s="300">
        <v>4611.3256318480226</v>
      </c>
      <c r="C7" s="271">
        <v>3431.561174798012</v>
      </c>
      <c r="D7" s="271">
        <v>2.8717514964335566</v>
      </c>
      <c r="E7" s="300">
        <v>854.48405274092545</v>
      </c>
      <c r="F7" s="271">
        <v>2556.6269332542779</v>
      </c>
      <c r="G7" s="271">
        <v>2.5551077290556461</v>
      </c>
      <c r="H7" s="300">
        <v>5758.8912707188838</v>
      </c>
      <c r="I7" s="271">
        <v>3434.1548959296324</v>
      </c>
      <c r="J7" s="271">
        <v>2.9125777724252622</v>
      </c>
      <c r="K7" s="300">
        <v>8796.4179294210808</v>
      </c>
      <c r="L7" s="271">
        <v>2636.4457791043415</v>
      </c>
      <c r="M7" s="306">
        <v>2.9285179846636682</v>
      </c>
      <c r="N7" s="311">
        <f t="shared" si="0"/>
        <v>100</v>
      </c>
      <c r="O7" s="301">
        <f t="shared" si="1"/>
        <v>82.692728135685385</v>
      </c>
      <c r="P7" s="301">
        <f t="shared" si="2"/>
        <v>86.77503894166189</v>
      </c>
      <c r="Q7" s="317">
        <f t="shared" si="3"/>
        <v>89.82258902578242</v>
      </c>
      <c r="R7" s="311">
        <f t="shared" si="4"/>
        <v>100</v>
      </c>
      <c r="S7" s="301">
        <f t="shared" si="5"/>
        <v>100</v>
      </c>
      <c r="T7" s="301">
        <f t="shared" si="6"/>
        <v>100</v>
      </c>
      <c r="U7" s="317">
        <f t="shared" si="7"/>
        <v>100</v>
      </c>
      <c r="V7" s="311">
        <f t="shared" si="8"/>
        <v>41.461073212689534</v>
      </c>
      <c r="W7" s="301">
        <f t="shared" si="9"/>
        <v>82.518411413818669</v>
      </c>
      <c r="X7" s="301">
        <f t="shared" si="10"/>
        <v>83.43118141655458</v>
      </c>
      <c r="Y7" s="317">
        <f t="shared" si="11"/>
        <v>69.13688868102092</v>
      </c>
      <c r="Z7" s="311">
        <f t="shared" si="12"/>
        <v>12.956117643067277</v>
      </c>
      <c r="AA7" s="301">
        <f t="shared" si="13"/>
        <v>100</v>
      </c>
      <c r="AB7" s="301">
        <f t="shared" si="14"/>
        <v>84.241671785354526</v>
      </c>
      <c r="AC7" s="312">
        <f t="shared" si="15"/>
        <v>65.7325964761406</v>
      </c>
      <c r="AD7">
        <f t="shared" si="16"/>
        <v>81.173018545735985</v>
      </c>
    </row>
    <row r="8" spans="1:30">
      <c r="A8" s="301" t="s">
        <v>109</v>
      </c>
      <c r="B8" s="300">
        <v>6794.6620239443209</v>
      </c>
      <c r="C8" s="271">
        <v>3408.5309567813347</v>
      </c>
      <c r="D8" s="271">
        <v>2.7986204974029483</v>
      </c>
      <c r="E8" s="300">
        <v>7477.9530169470863</v>
      </c>
      <c r="F8" s="271">
        <v>3408.0388306336263</v>
      </c>
      <c r="G8" s="271">
        <v>2.8666823308849785</v>
      </c>
      <c r="H8" s="300">
        <v>5780.7015688917727</v>
      </c>
      <c r="I8" s="271">
        <v>3563.9079449851888</v>
      </c>
      <c r="J8" s="271">
        <v>2.7790029097512656</v>
      </c>
      <c r="K8" s="300">
        <v>5146.2628597005778</v>
      </c>
      <c r="L8" s="271">
        <v>6454.9306757505001</v>
      </c>
      <c r="M8" s="306">
        <v>2.8464731227632867</v>
      </c>
      <c r="N8" s="311">
        <f t="shared" si="0"/>
        <v>7.8763286924385421</v>
      </c>
      <c r="O8" s="301">
        <f t="shared" si="1"/>
        <v>83.180859004971836</v>
      </c>
      <c r="P8" s="301">
        <f t="shared" si="2"/>
        <v>90.025536285028295</v>
      </c>
      <c r="Q8" s="317">
        <f t="shared" si="3"/>
        <v>60.360907994146224</v>
      </c>
      <c r="R8" s="311">
        <f t="shared" si="4"/>
        <v>0.6974683268973445</v>
      </c>
      <c r="S8" s="301">
        <f t="shared" si="5"/>
        <v>82.340449567942002</v>
      </c>
      <c r="T8" s="301">
        <f t="shared" si="6"/>
        <v>85.656154017698952</v>
      </c>
      <c r="U8" s="317">
        <f t="shared" si="7"/>
        <v>56.231357304179433</v>
      </c>
      <c r="V8" s="311">
        <f t="shared" si="8"/>
        <v>39.212953922353314</v>
      </c>
      <c r="W8" s="301">
        <f t="shared" si="9"/>
        <v>79.749719735201708</v>
      </c>
      <c r="X8" s="301">
        <f t="shared" si="10"/>
        <v>90.508639630397269</v>
      </c>
      <c r="Y8" s="317">
        <f t="shared" si="11"/>
        <v>69.8237710959841</v>
      </c>
      <c r="Z8" s="311">
        <f t="shared" si="12"/>
        <v>60.875525283391717</v>
      </c>
      <c r="AA8" s="301">
        <f t="shared" si="13"/>
        <v>16.93079318857577</v>
      </c>
      <c r="AB8" s="301">
        <f t="shared" si="14"/>
        <v>87.873867149188627</v>
      </c>
      <c r="AC8" s="312">
        <f t="shared" si="15"/>
        <v>55.226728540385373</v>
      </c>
      <c r="AD8">
        <f t="shared" si="16"/>
        <v>60.410691233673781</v>
      </c>
    </row>
    <row r="9" spans="1:30">
      <c r="A9" s="301" t="s">
        <v>79</v>
      </c>
      <c r="B9" s="300">
        <v>6880.3867534328738</v>
      </c>
      <c r="C9" s="271">
        <v>2614.9968692220546</v>
      </c>
      <c r="D9" s="271">
        <v>4.824051288855923</v>
      </c>
      <c r="E9" s="300">
        <v>7524.4740848281044</v>
      </c>
      <c r="F9" s="271">
        <v>2615.1015874546279</v>
      </c>
      <c r="G9" s="271">
        <v>4.7272908535383404</v>
      </c>
      <c r="H9" s="300">
        <v>5804.5293620544753</v>
      </c>
      <c r="I9" s="271">
        <v>2614.8908952067668</v>
      </c>
      <c r="J9" s="271">
        <v>4.4871979628558574</v>
      </c>
      <c r="K9" s="300">
        <v>2166.0423860066667</v>
      </c>
      <c r="L9" s="271">
        <v>2723.4296875</v>
      </c>
      <c r="M9" s="306">
        <v>4.8313881872705302</v>
      </c>
      <c r="N9" s="311">
        <f t="shared" si="0"/>
        <v>4.2592604152269811</v>
      </c>
      <c r="O9" s="301">
        <f t="shared" si="1"/>
        <v>100</v>
      </c>
      <c r="P9" s="301">
        <f t="shared" si="2"/>
        <v>0</v>
      </c>
      <c r="Q9" s="317">
        <f t="shared" si="3"/>
        <v>34.753086805075661</v>
      </c>
      <c r="R9" s="311">
        <f t="shared" si="4"/>
        <v>0</v>
      </c>
      <c r="S9" s="301">
        <f t="shared" si="5"/>
        <v>98.787148608063021</v>
      </c>
      <c r="T9" s="301">
        <f t="shared" si="6"/>
        <v>0</v>
      </c>
      <c r="U9" s="317">
        <f t="shared" si="7"/>
        <v>32.929049536021004</v>
      </c>
      <c r="V9" s="311">
        <f t="shared" si="8"/>
        <v>36.756879226327378</v>
      </c>
      <c r="W9" s="301">
        <f t="shared" si="9"/>
        <v>100</v>
      </c>
      <c r="X9" s="301">
        <f t="shared" si="10"/>
        <v>0</v>
      </c>
      <c r="Y9" s="317">
        <f t="shared" si="11"/>
        <v>45.585626408775795</v>
      </c>
      <c r="Z9" s="311">
        <f t="shared" si="12"/>
        <v>100</v>
      </c>
      <c r="AA9" s="301">
        <f t="shared" si="13"/>
        <v>98.107709085838891</v>
      </c>
      <c r="AB9" s="301">
        <f t="shared" si="14"/>
        <v>0</v>
      </c>
      <c r="AC9" s="312">
        <f t="shared" si="15"/>
        <v>66.035903028612964</v>
      </c>
      <c r="AD9">
        <f t="shared" si="16"/>
        <v>44.825916444621356</v>
      </c>
    </row>
    <row r="10" spans="1:30">
      <c r="A10" s="301" t="s">
        <v>80</v>
      </c>
      <c r="B10" s="300">
        <v>6824.8702917083119</v>
      </c>
      <c r="C10" s="271">
        <v>3254.2952585374569</v>
      </c>
      <c r="D10" s="271">
        <v>3.0827570822438921</v>
      </c>
      <c r="E10" s="300">
        <v>2366.9571717970312</v>
      </c>
      <c r="F10" s="271">
        <v>3246.8667794185371</v>
      </c>
      <c r="G10" s="271">
        <v>3.0995606690852342</v>
      </c>
      <c r="H10" s="300">
        <v>5789.9108993406207</v>
      </c>
      <c r="I10" s="271">
        <v>3243.5192141698508</v>
      </c>
      <c r="J10" s="271">
        <v>3.1194932807120472</v>
      </c>
      <c r="K10" s="300">
        <v>5301.1653952985289</v>
      </c>
      <c r="L10" s="271">
        <v>2988.6946742526011</v>
      </c>
      <c r="M10" s="306">
        <v>3.1329665777313229</v>
      </c>
      <c r="N10" s="311">
        <f t="shared" si="0"/>
        <v>6.6017213802832426</v>
      </c>
      <c r="O10" s="301">
        <f t="shared" si="1"/>
        <v>86.449920783035154</v>
      </c>
      <c r="P10" s="301">
        <f t="shared" si="2"/>
        <v>77.396347207601195</v>
      </c>
      <c r="Q10" s="317">
        <f t="shared" si="3"/>
        <v>56.815996456973188</v>
      </c>
      <c r="R10" s="311">
        <f t="shared" si="4"/>
        <v>77.324207206006548</v>
      </c>
      <c r="S10" s="301">
        <f t="shared" si="5"/>
        <v>85.683397881715649</v>
      </c>
      <c r="T10" s="301">
        <f t="shared" si="6"/>
        <v>74.935219139995411</v>
      </c>
      <c r="U10" s="317">
        <f t="shared" si="7"/>
        <v>79.314274742572536</v>
      </c>
      <c r="V10" s="311">
        <f t="shared" si="8"/>
        <v>38.263692556505895</v>
      </c>
      <c r="W10" s="301">
        <f t="shared" si="9"/>
        <v>86.586226617989993</v>
      </c>
      <c r="X10" s="301">
        <f t="shared" si="10"/>
        <v>72.467772326104267</v>
      </c>
      <c r="Y10" s="317">
        <f t="shared" si="11"/>
        <v>65.772563833533383</v>
      </c>
      <c r="Z10" s="311">
        <f t="shared" si="12"/>
        <v>58.841957501734029</v>
      </c>
      <c r="AA10" s="301">
        <f t="shared" si="13"/>
        <v>92.337003520462559</v>
      </c>
      <c r="AB10" s="301">
        <f t="shared" si="14"/>
        <v>75.190559812195318</v>
      </c>
      <c r="AC10" s="312">
        <f t="shared" si="15"/>
        <v>75.456506944797297</v>
      </c>
      <c r="AD10">
        <f t="shared" si="16"/>
        <v>69.339835494469099</v>
      </c>
    </row>
    <row r="11" spans="1:30">
      <c r="A11" s="301" t="s">
        <v>82</v>
      </c>
      <c r="B11" s="300">
        <v>6981.3314741109452</v>
      </c>
      <c r="C11" s="271">
        <v>7333.0385801147386</v>
      </c>
      <c r="D11" s="271">
        <v>3.1080916360294117</v>
      </c>
      <c r="E11" s="300">
        <v>2378.6186570924447</v>
      </c>
      <c r="F11" s="271">
        <v>7377.8815889433081</v>
      </c>
      <c r="G11" s="271">
        <v>2.8592532719914239</v>
      </c>
      <c r="H11" s="300">
        <v>6161.1289870286337</v>
      </c>
      <c r="I11" s="271">
        <v>7301.3299833023957</v>
      </c>
      <c r="J11" s="271">
        <v>2.9678923384405982</v>
      </c>
      <c r="K11" s="300">
        <v>4622.8997247388852</v>
      </c>
      <c r="L11" s="271">
        <v>7233.1971424759913</v>
      </c>
      <c r="M11" s="306">
        <v>2.9925068190166808</v>
      </c>
      <c r="N11" s="311">
        <f t="shared" si="0"/>
        <v>0</v>
      </c>
      <c r="O11" s="301">
        <f t="shared" si="1"/>
        <v>0</v>
      </c>
      <c r="P11" s="301">
        <f t="shared" si="2"/>
        <v>76.2702871117896</v>
      </c>
      <c r="Q11" s="317">
        <f t="shared" si="3"/>
        <v>25.423429037263201</v>
      </c>
      <c r="R11" s="311">
        <f t="shared" si="4"/>
        <v>77.149372082725804</v>
      </c>
      <c r="S11" s="301">
        <f t="shared" si="5"/>
        <v>0</v>
      </c>
      <c r="T11" s="301">
        <f t="shared" si="6"/>
        <v>85.998162884714873</v>
      </c>
      <c r="U11" s="317">
        <f t="shared" si="7"/>
        <v>54.382511655813552</v>
      </c>
      <c r="V11" s="311">
        <f t="shared" si="8"/>
        <v>0</v>
      </c>
      <c r="W11" s="301">
        <f t="shared" si="9"/>
        <v>0</v>
      </c>
      <c r="X11" s="301">
        <f t="shared" si="10"/>
        <v>80.500341573238785</v>
      </c>
      <c r="Y11" s="317">
        <f t="shared" si="11"/>
        <v>26.833447191079596</v>
      </c>
      <c r="Z11" s="311">
        <f t="shared" si="12"/>
        <v>67.746261164228656</v>
      </c>
      <c r="AA11" s="301">
        <f t="shared" si="13"/>
        <v>0</v>
      </c>
      <c r="AB11" s="301">
        <f t="shared" si="14"/>
        <v>81.408832018296806</v>
      </c>
      <c r="AC11" s="312">
        <f t="shared" si="15"/>
        <v>49.718364394175154</v>
      </c>
      <c r="AD11">
        <f t="shared" si="16"/>
        <v>39.089438069582876</v>
      </c>
    </row>
    <row r="12" spans="1:30" ht="14.5" thickBot="1">
      <c r="A12" s="301" t="s">
        <v>85</v>
      </c>
      <c r="B12" s="300">
        <v>6818.5813842852558</v>
      </c>
      <c r="C12" s="271">
        <v>3666.9839764743451</v>
      </c>
      <c r="D12" s="271">
        <v>2.5742109934976223</v>
      </c>
      <c r="E12" s="300">
        <v>1976.0765351066232</v>
      </c>
      <c r="F12" s="271">
        <v>3946.9820173264116</v>
      </c>
      <c r="G12" s="271">
        <v>2.7070270076008836</v>
      </c>
      <c r="H12" s="300">
        <v>5783.8780844491193</v>
      </c>
      <c r="I12" s="271">
        <v>3679.7881181034172</v>
      </c>
      <c r="J12" s="271">
        <v>2.6435192166218928</v>
      </c>
      <c r="K12" s="300">
        <v>5075.5085392256597</v>
      </c>
      <c r="L12" s="271">
        <v>3666.1994929677389</v>
      </c>
      <c r="M12" s="306">
        <v>2.5725652528737353</v>
      </c>
      <c r="N12" s="313">
        <f t="shared" si="0"/>
        <v>6.8670754697504393</v>
      </c>
      <c r="O12" s="314">
        <f t="shared" si="1"/>
        <v>77.70288666962108</v>
      </c>
      <c r="P12" s="314">
        <f t="shared" si="2"/>
        <v>100</v>
      </c>
      <c r="Q12" s="318">
        <f t="shared" si="3"/>
        <v>61.523320713123837</v>
      </c>
      <c r="R12" s="313">
        <f t="shared" si="4"/>
        <v>83.184495374504664</v>
      </c>
      <c r="S12" s="314">
        <f t="shared" si="5"/>
        <v>71.161965435044394</v>
      </c>
      <c r="T12" s="314">
        <f t="shared" si="6"/>
        <v>93.006147739895681</v>
      </c>
      <c r="U12" s="318">
        <f t="shared" si="7"/>
        <v>82.450869516481575</v>
      </c>
      <c r="V12" s="313">
        <f t="shared" si="8"/>
        <v>38.885531259723194</v>
      </c>
      <c r="W12" s="314">
        <f t="shared" si="9"/>
        <v>77.277049741205971</v>
      </c>
      <c r="X12" s="314">
        <f t="shared" si="10"/>
        <v>97.68723714182029</v>
      </c>
      <c r="Y12" s="318">
        <f t="shared" si="11"/>
        <v>71.283272714249819</v>
      </c>
      <c r="Z12" s="313">
        <f t="shared" si="12"/>
        <v>61.804391334392506</v>
      </c>
      <c r="AA12" s="314">
        <f t="shared" si="13"/>
        <v>77.598228999967318</v>
      </c>
      <c r="AB12" s="314">
        <f t="shared" si="14"/>
        <v>100</v>
      </c>
      <c r="AC12" s="315">
        <f t="shared" si="15"/>
        <v>79.800873444786603</v>
      </c>
      <c r="AD12">
        <f t="shared" si="16"/>
        <v>73.764584097160466</v>
      </c>
    </row>
    <row r="17" spans="1:8">
      <c r="A17" s="301"/>
      <c r="B17" t="s">
        <v>650</v>
      </c>
      <c r="C17" t="s">
        <v>130</v>
      </c>
    </row>
    <row r="18" spans="1:8">
      <c r="A18" s="301" t="s">
        <v>65</v>
      </c>
      <c r="B18">
        <v>34.132888432308107</v>
      </c>
      <c r="C18">
        <v>2</v>
      </c>
    </row>
    <row r="19" spans="1:8" ht="42">
      <c r="A19" s="301" t="s">
        <v>63</v>
      </c>
      <c r="B19">
        <v>43.62068732934528</v>
      </c>
      <c r="C19">
        <v>4</v>
      </c>
      <c r="F19" s="278" t="s">
        <v>651</v>
      </c>
      <c r="G19" s="280" t="s">
        <v>118</v>
      </c>
      <c r="H19" s="280" t="s">
        <v>652</v>
      </c>
    </row>
    <row r="20" spans="1:8">
      <c r="A20" s="301" t="s">
        <v>68</v>
      </c>
      <c r="B20">
        <v>36.809997374642975</v>
      </c>
      <c r="C20">
        <v>4</v>
      </c>
      <c r="F20" s="281" t="s">
        <v>120</v>
      </c>
      <c r="G20" s="279">
        <v>1</v>
      </c>
      <c r="H20" s="279" t="s">
        <v>653</v>
      </c>
    </row>
    <row r="21" spans="1:8" ht="28">
      <c r="A21" s="301" t="s">
        <v>69</v>
      </c>
      <c r="B21">
        <v>36.133852621714709</v>
      </c>
      <c r="C21">
        <v>4</v>
      </c>
      <c r="F21" s="281" t="s">
        <v>122</v>
      </c>
      <c r="G21" s="279">
        <v>2</v>
      </c>
      <c r="H21" s="279" t="s">
        <v>654</v>
      </c>
    </row>
    <row r="22" spans="1:8" ht="28">
      <c r="A22" s="301" t="s">
        <v>71</v>
      </c>
      <c r="B22">
        <v>35.994458624372385</v>
      </c>
      <c r="C22">
        <v>4</v>
      </c>
      <c r="F22" s="281" t="s">
        <v>124</v>
      </c>
      <c r="G22" s="279">
        <v>3</v>
      </c>
      <c r="H22" s="279" t="s">
        <v>655</v>
      </c>
    </row>
    <row r="23" spans="1:8" ht="28">
      <c r="A23" s="301" t="s">
        <v>108</v>
      </c>
      <c r="B23">
        <v>81.173018545735985</v>
      </c>
      <c r="C23">
        <v>2</v>
      </c>
      <c r="F23" s="281" t="s">
        <v>126</v>
      </c>
      <c r="G23" s="279">
        <v>4</v>
      </c>
      <c r="H23" s="279" t="s">
        <v>656</v>
      </c>
    </row>
    <row r="24" spans="1:8">
      <c r="A24" s="301" t="s">
        <v>109</v>
      </c>
      <c r="B24">
        <v>60.410691233673781</v>
      </c>
      <c r="C24">
        <v>2</v>
      </c>
      <c r="F24" s="281" t="s">
        <v>128</v>
      </c>
      <c r="G24" s="279">
        <v>5</v>
      </c>
      <c r="H24" s="279" t="s">
        <v>657</v>
      </c>
    </row>
    <row r="25" spans="1:8">
      <c r="A25" s="301" t="s">
        <v>79</v>
      </c>
      <c r="B25">
        <v>44.825916444621356</v>
      </c>
      <c r="C25">
        <v>3</v>
      </c>
    </row>
    <row r="26" spans="1:8">
      <c r="A26" s="301" t="s">
        <v>80</v>
      </c>
      <c r="B26">
        <v>69.339835494469099</v>
      </c>
      <c r="C26">
        <v>2</v>
      </c>
    </row>
    <row r="27" spans="1:8">
      <c r="A27" s="301" t="s">
        <v>82</v>
      </c>
      <c r="B27">
        <v>39.089438069582876</v>
      </c>
      <c r="C27">
        <v>3</v>
      </c>
    </row>
    <row r="28" spans="1:8">
      <c r="A28" s="301" t="s">
        <v>85</v>
      </c>
      <c r="B28">
        <v>73.764584097160466</v>
      </c>
      <c r="C28">
        <v>1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B0E0C-E0C7-4E41-B9A3-041AE3EE1410}">
  <dimension ref="A1:R12"/>
  <sheetViews>
    <sheetView workbookViewId="0">
      <selection activeCell="L3" sqref="L3"/>
    </sheetView>
  </sheetViews>
  <sheetFormatPr defaultRowHeight="14"/>
  <cols>
    <col min="17" max="17" width="6.75" bestFit="1" customWidth="1"/>
    <col min="18" max="18" width="18.75" customWidth="1"/>
  </cols>
  <sheetData>
    <row r="1" spans="1:18" ht="42.5" thickBot="1">
      <c r="A1" t="s">
        <v>110</v>
      </c>
      <c r="B1" s="275" t="s">
        <v>4</v>
      </c>
      <c r="C1" s="274" t="s">
        <v>87</v>
      </c>
      <c r="D1" s="276" t="s">
        <v>5</v>
      </c>
      <c r="E1" s="272" t="s">
        <v>67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130</v>
      </c>
      <c r="P1" s="278" t="s">
        <v>117</v>
      </c>
      <c r="Q1" s="280" t="s">
        <v>118</v>
      </c>
      <c r="R1" s="280" t="s">
        <v>119</v>
      </c>
    </row>
    <row r="2" spans="1:18" ht="14.5" thickBot="1">
      <c r="A2" t="s">
        <v>107</v>
      </c>
      <c r="B2" s="270">
        <v>1.0748742466666728</v>
      </c>
      <c r="C2" s="269">
        <v>1.0251177218587439</v>
      </c>
      <c r="D2" s="277">
        <v>1.1300712888888882</v>
      </c>
      <c r="E2" s="273">
        <v>1.0357158011111147</v>
      </c>
      <c r="F2" s="82">
        <f>AVERAGE(B2:E2)</f>
        <v>1.0664447646313548</v>
      </c>
      <c r="G2">
        <f>((MAX($B$2:$B$12)-B2)/(MAX($B$2:$B$12)-MIN($B$2:$B$12)))*100</f>
        <v>93.523776141850661</v>
      </c>
      <c r="H2">
        <f>((MAX($C$2:$C$12)-C2)/(MAX($C$2:$C$12)-MIN($C$2:$C$12)))*100</f>
        <v>95.195765498609248</v>
      </c>
      <c r="I2">
        <f>((MAX($D$2:$D$12)-D2)/(MAX($D$2:$D$12)-MIN($D$2:$D$12)))*100</f>
        <v>93.057122772142648</v>
      </c>
      <c r="J2">
        <f>((MAX($E$2:$E$12)-E2)/(MAX($E$2:$E$12)-MIN($E$2:$E$12)))*100</f>
        <v>93.161987705201369</v>
      </c>
      <c r="K2">
        <f>AVERAGE(G2:J2)</f>
        <v>93.734663029450985</v>
      </c>
      <c r="L2">
        <f>IF(K2&gt;=90,1,IF(K2&gt;=70,2,IF(K2&gt;=50,3,IF(K2&gt;=30,4,5))))</f>
        <v>1</v>
      </c>
      <c r="P2" s="281" t="s">
        <v>120</v>
      </c>
      <c r="Q2" s="279">
        <v>1</v>
      </c>
      <c r="R2" s="279" t="s">
        <v>121</v>
      </c>
    </row>
    <row r="3" spans="1:18" ht="28.5" thickBot="1">
      <c r="A3" t="s">
        <v>106</v>
      </c>
      <c r="B3" s="270">
        <v>1.3621175133333281</v>
      </c>
      <c r="C3" s="269">
        <v>1.3126424995806012</v>
      </c>
      <c r="D3" s="277">
        <v>1.304079216161617</v>
      </c>
      <c r="E3" s="273">
        <v>1.3031206633333265</v>
      </c>
      <c r="F3" s="82">
        <f t="shared" ref="F3:F12" si="0">AVERAGE(B3:E3)</f>
        <v>1.3204899731022184</v>
      </c>
      <c r="G3">
        <f t="shared" ref="G3:G12" si="1">((MAX($B$2:$B$12)-B3)/(MAX($B$2:$B$12)-MIN($B$2:$B$12)))*100</f>
        <v>91.281086794086292</v>
      </c>
      <c r="H3">
        <f t="shared" ref="H3:H12" si="2">((MAX($C$2:$C$12)-C3)/(MAX($C$2:$C$12)-MIN($C$2:$C$12)))*100</f>
        <v>93.533870772992572</v>
      </c>
      <c r="I3">
        <f t="shared" ref="I3:I12" si="3">((MAX($D$2:$D$12)-D3)/(MAX($D$2:$D$12)-MIN($D$2:$D$12)))*100</f>
        <v>91.651834433990359</v>
      </c>
      <c r="J3">
        <f t="shared" ref="J3:J12" si="4">((MAX($E$2:$E$12)-E3)/(MAX($E$2:$E$12)-MIN($E$2:$E$12)))*100</f>
        <v>91.103288556249751</v>
      </c>
      <c r="K3">
        <f t="shared" ref="K3:K12" si="5">AVERAGE(G3:J3)</f>
        <v>91.892520139329747</v>
      </c>
      <c r="L3">
        <f t="shared" ref="L3:L12" si="6">IF(K3&gt;=90,1,IF(K3&gt;=70,2,IF(K3&gt;=50,3,IF(K3&gt;=30,4,5))))</f>
        <v>1</v>
      </c>
      <c r="P3" s="281" t="s">
        <v>122</v>
      </c>
      <c r="Q3" s="279">
        <v>2</v>
      </c>
      <c r="R3" s="279" t="s">
        <v>123</v>
      </c>
    </row>
    <row r="4" spans="1:18" ht="28.5" thickBot="1">
      <c r="A4" t="s">
        <v>68</v>
      </c>
      <c r="B4" s="270">
        <v>1.2342239999999947</v>
      </c>
      <c r="C4" s="269">
        <v>1.3126424995806012</v>
      </c>
      <c r="D4" s="277">
        <v>1.2010015757575705</v>
      </c>
      <c r="E4" s="273">
        <v>1.1485982577777778</v>
      </c>
      <c r="F4" s="82">
        <f t="shared" si="0"/>
        <v>1.224116583278986</v>
      </c>
      <c r="G4">
        <f t="shared" si="1"/>
        <v>92.279632115372053</v>
      </c>
      <c r="H4">
        <f t="shared" si="2"/>
        <v>93.533870772992572</v>
      </c>
      <c r="I4">
        <f t="shared" si="3"/>
        <v>92.484289645970591</v>
      </c>
      <c r="J4">
        <f t="shared" si="4"/>
        <v>92.292927152076075</v>
      </c>
      <c r="K4">
        <f t="shared" si="5"/>
        <v>92.647679921602816</v>
      </c>
      <c r="L4">
        <f t="shared" si="6"/>
        <v>1</v>
      </c>
      <c r="P4" s="281" t="s">
        <v>124</v>
      </c>
      <c r="Q4" s="279">
        <v>3</v>
      </c>
      <c r="R4" s="279" t="s">
        <v>125</v>
      </c>
    </row>
    <row r="5" spans="1:18" ht="28.5" thickBot="1">
      <c r="A5" t="s">
        <v>69</v>
      </c>
      <c r="B5" s="270">
        <v>0.24540060666666552</v>
      </c>
      <c r="C5" s="269">
        <v>0.19393603757758426</v>
      </c>
      <c r="D5" s="277">
        <v>0.27037890909090806</v>
      </c>
      <c r="E5" s="273">
        <v>0.14752495666666365</v>
      </c>
      <c r="F5" s="82">
        <f t="shared" si="0"/>
        <v>0.21431012750045536</v>
      </c>
      <c r="G5">
        <f t="shared" si="1"/>
        <v>100</v>
      </c>
      <c r="H5">
        <f t="shared" si="2"/>
        <v>100</v>
      </c>
      <c r="I5">
        <f t="shared" si="3"/>
        <v>100</v>
      </c>
      <c r="J5">
        <f t="shared" si="4"/>
        <v>100</v>
      </c>
      <c r="K5">
        <f t="shared" si="5"/>
        <v>100</v>
      </c>
      <c r="L5">
        <f t="shared" si="6"/>
        <v>1</v>
      </c>
      <c r="P5" s="281" t="s">
        <v>126</v>
      </c>
      <c r="Q5" s="279">
        <v>4</v>
      </c>
      <c r="R5" s="279" t="s">
        <v>127</v>
      </c>
    </row>
    <row r="6" spans="1:18" ht="28.5" thickBot="1">
      <c r="A6" t="s">
        <v>71</v>
      </c>
      <c r="B6" s="270">
        <v>0.72951182000000847</v>
      </c>
      <c r="C6" s="269">
        <v>0.67353440362355121</v>
      </c>
      <c r="D6" s="277">
        <v>0.77155540202020212</v>
      </c>
      <c r="E6" s="273">
        <v>0.63141118888888736</v>
      </c>
      <c r="F6" s="82">
        <f t="shared" si="0"/>
        <v>0.70150320363316232</v>
      </c>
      <c r="G6">
        <f t="shared" si="1"/>
        <v>96.220238427604528</v>
      </c>
      <c r="H6">
        <f t="shared" si="2"/>
        <v>97.227918924896244</v>
      </c>
      <c r="I6">
        <f t="shared" si="3"/>
        <v>95.952497728648154</v>
      </c>
      <c r="J6">
        <f t="shared" si="4"/>
        <v>96.274651978326844</v>
      </c>
      <c r="K6">
        <f t="shared" si="5"/>
        <v>96.418826764868939</v>
      </c>
      <c r="L6">
        <f t="shared" si="6"/>
        <v>1</v>
      </c>
      <c r="P6" s="281" t="s">
        <v>128</v>
      </c>
      <c r="Q6" s="279">
        <v>5</v>
      </c>
      <c r="R6" s="279" t="s">
        <v>129</v>
      </c>
    </row>
    <row r="7" spans="1:18" ht="14.5" thickBot="1">
      <c r="A7" t="s">
        <v>108</v>
      </c>
      <c r="B7" s="270">
        <v>7.0087955600000136</v>
      </c>
      <c r="C7" s="269">
        <v>17.494958376111402</v>
      </c>
      <c r="D7" s="277">
        <v>7.235197624242427</v>
      </c>
      <c r="E7" s="273">
        <v>7.2023857244444445</v>
      </c>
      <c r="F7" s="82">
        <f t="shared" si="0"/>
        <v>9.7353343211995718</v>
      </c>
      <c r="G7">
        <f t="shared" si="1"/>
        <v>47.193909912720137</v>
      </c>
      <c r="H7">
        <f t="shared" si="2"/>
        <v>0</v>
      </c>
      <c r="I7">
        <f t="shared" si="3"/>
        <v>43.752111348313463</v>
      </c>
      <c r="J7">
        <f t="shared" si="4"/>
        <v>45.68596944012517</v>
      </c>
      <c r="K7">
        <f t="shared" si="5"/>
        <v>34.157997675289693</v>
      </c>
      <c r="L7">
        <f t="shared" si="6"/>
        <v>4</v>
      </c>
    </row>
    <row r="8" spans="1:18" ht="14.5" thickBot="1">
      <c r="A8" t="s">
        <v>109</v>
      </c>
      <c r="B8" s="270">
        <v>6.8908848600000052</v>
      </c>
      <c r="C8" s="269">
        <v>6.939499892635455</v>
      </c>
      <c r="D8" s="277">
        <v>7.5227189737373861</v>
      </c>
      <c r="E8" s="273">
        <v>6.8839489544444508</v>
      </c>
      <c r="F8" s="82">
        <f t="shared" si="0"/>
        <v>7.0592631702043249</v>
      </c>
      <c r="G8">
        <f t="shared" si="1"/>
        <v>48.114513114132471</v>
      </c>
      <c r="H8">
        <f t="shared" si="2"/>
        <v>61.010605482927048</v>
      </c>
      <c r="I8">
        <f t="shared" si="3"/>
        <v>41.430088405175987</v>
      </c>
      <c r="J8">
        <f t="shared" si="4"/>
        <v>48.137553536038581</v>
      </c>
      <c r="K8">
        <f t="shared" si="5"/>
        <v>49.673190134568522</v>
      </c>
      <c r="L8">
        <f t="shared" si="6"/>
        <v>4</v>
      </c>
    </row>
    <row r="9" spans="1:18" ht="14.5" thickBot="1">
      <c r="A9" t="s">
        <v>79</v>
      </c>
      <c r="B9" s="270">
        <v>1.6042333533333288</v>
      </c>
      <c r="C9" s="269">
        <v>1.6422698842475993</v>
      </c>
      <c r="D9" s="277">
        <v>1.6189786747474748</v>
      </c>
      <c r="E9" s="273">
        <v>1.8534884522222153</v>
      </c>
      <c r="F9" s="82">
        <f t="shared" si="0"/>
        <v>1.6797425911376545</v>
      </c>
      <c r="G9">
        <f t="shared" si="1"/>
        <v>89.390735728265952</v>
      </c>
      <c r="H9">
        <f t="shared" si="2"/>
        <v>91.628622758065532</v>
      </c>
      <c r="I9">
        <f t="shared" si="3"/>
        <v>89.108705831880243</v>
      </c>
      <c r="J9">
        <f t="shared" si="4"/>
        <v>86.866111680780691</v>
      </c>
      <c r="K9">
        <f t="shared" si="5"/>
        <v>89.248543999748108</v>
      </c>
      <c r="L9">
        <f t="shared" si="6"/>
        <v>2</v>
      </c>
    </row>
    <row r="10" spans="1:18" ht="14.5" thickBot="1">
      <c r="A10" t="s">
        <v>80</v>
      </c>
      <c r="B10" s="270">
        <v>13.053383440000015</v>
      </c>
      <c r="C10" s="269">
        <v>13.194025130011756</v>
      </c>
      <c r="D10" s="277">
        <v>12.652743620202044</v>
      </c>
      <c r="E10" s="273">
        <v>13.136545832222247</v>
      </c>
      <c r="F10" s="82">
        <f t="shared" si="0"/>
        <v>13.009174505609016</v>
      </c>
      <c r="G10">
        <f t="shared" si="1"/>
        <v>0</v>
      </c>
      <c r="H10">
        <f t="shared" si="2"/>
        <v>24.85941675550793</v>
      </c>
      <c r="I10">
        <f t="shared" si="3"/>
        <v>0</v>
      </c>
      <c r="J10">
        <f t="shared" si="4"/>
        <v>0</v>
      </c>
      <c r="K10">
        <f t="shared" si="5"/>
        <v>6.2148541888769824</v>
      </c>
      <c r="L10">
        <f t="shared" si="6"/>
        <v>5</v>
      </c>
    </row>
    <row r="11" spans="1:18" ht="14.5" thickBot="1">
      <c r="A11" t="s">
        <v>82</v>
      </c>
      <c r="B11" s="270">
        <v>9.9981014133330373</v>
      </c>
      <c r="C11" s="269">
        <v>10.962774675390104</v>
      </c>
      <c r="D11" s="277">
        <v>10.090243814141425</v>
      </c>
      <c r="E11" s="273">
        <v>10.44189558222214</v>
      </c>
      <c r="F11" s="82">
        <f t="shared" si="0"/>
        <v>10.373253871271675</v>
      </c>
      <c r="G11">
        <f t="shared" si="1"/>
        <v>23.854513754620825</v>
      </c>
      <c r="H11">
        <f t="shared" si="2"/>
        <v>37.75605610410922</v>
      </c>
      <c r="I11">
        <f t="shared" si="3"/>
        <v>20.694753109324878</v>
      </c>
      <c r="J11">
        <f t="shared" si="4"/>
        <v>20.745599501431609</v>
      </c>
      <c r="K11">
        <f t="shared" si="5"/>
        <v>25.762730617371634</v>
      </c>
      <c r="L11">
        <f t="shared" si="6"/>
        <v>5</v>
      </c>
    </row>
    <row r="12" spans="1:18" ht="14.5" thickBot="1">
      <c r="A12" t="s">
        <v>85</v>
      </c>
      <c r="B12" s="270">
        <v>9.7088694733333192</v>
      </c>
      <c r="C12" s="269">
        <v>9.9617792954202535</v>
      </c>
      <c r="D12" s="277">
        <v>8.9617151272727682</v>
      </c>
      <c r="E12" s="273">
        <v>11.711541469999975</v>
      </c>
      <c r="F12" s="82">
        <f t="shared" si="0"/>
        <v>10.08597634150658</v>
      </c>
      <c r="G12">
        <f t="shared" si="1"/>
        <v>26.112729929356622</v>
      </c>
      <c r="H12">
        <f t="shared" si="2"/>
        <v>43.541814658621789</v>
      </c>
      <c r="I12">
        <f t="shared" si="3"/>
        <v>29.808752843608172</v>
      </c>
      <c r="J12">
        <f t="shared" si="4"/>
        <v>10.970837416267676</v>
      </c>
      <c r="K12">
        <f t="shared" si="5"/>
        <v>27.608533711963563</v>
      </c>
      <c r="L12">
        <f t="shared" si="6"/>
        <v>5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B13" sqref="B13"/>
    </sheetView>
  </sheetViews>
  <sheetFormatPr defaultRowHeight="14"/>
  <cols>
    <col min="1" max="1" width="22" customWidth="1"/>
    <col min="2" max="2" width="90" customWidth="1"/>
  </cols>
  <sheetData>
    <row r="1" spans="1:2">
      <c r="A1" s="1" t="s">
        <v>47</v>
      </c>
      <c r="B1" s="3" t="s">
        <v>48</v>
      </c>
    </row>
    <row r="2" spans="1:2">
      <c r="A2" s="5" t="s">
        <v>49</v>
      </c>
      <c r="B2" s="7" t="s">
        <v>50</v>
      </c>
    </row>
    <row r="3" spans="1:2">
      <c r="A3" s="5" t="s">
        <v>51</v>
      </c>
      <c r="B3" s="7" t="s">
        <v>52</v>
      </c>
    </row>
    <row r="4" spans="1:2">
      <c r="A4" s="5" t="s">
        <v>53</v>
      </c>
      <c r="B4" s="7" t="s">
        <v>86</v>
      </c>
    </row>
    <row r="5" spans="1:2" ht="28">
      <c r="A5" s="5" t="s">
        <v>54</v>
      </c>
      <c r="B5" s="7" t="s">
        <v>55</v>
      </c>
    </row>
    <row r="6" spans="1:2">
      <c r="A6" s="5" t="s">
        <v>56</v>
      </c>
      <c r="B6" s="7" t="s">
        <v>57</v>
      </c>
    </row>
    <row r="7" spans="1:2" ht="28">
      <c r="A7" s="6" t="s">
        <v>58</v>
      </c>
      <c r="B7" s="8" t="s">
        <v>59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Runs</vt:lpstr>
      <vt:lpstr>Key Runs</vt:lpstr>
      <vt:lpstr>Resource Mean Matrix</vt:lpstr>
      <vt:lpstr>Summary Statistics</vt:lpstr>
      <vt:lpstr>Resource SD Matrix</vt:lpstr>
      <vt:lpstr>RECOMENDATION RESOURCE</vt:lpstr>
      <vt:lpstr>recomendation IT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anee khan</cp:lastModifiedBy>
  <dcterms:modified xsi:type="dcterms:W3CDTF">2026-08-19T08:43:45Z</dcterms:modified>
</cp:coreProperties>
</file>